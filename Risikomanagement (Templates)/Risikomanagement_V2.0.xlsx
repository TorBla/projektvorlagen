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bpm-my.sharepoint.com/personal/torbla_blankertz_net/Documents/Vorlagen/GitHub-Vorlagen (Projektmanagement &amp; Unterichte)/"/>
    </mc:Choice>
  </mc:AlternateContent>
  <xr:revisionPtr revIDLastSave="126" documentId="8_{E7D5A66E-7DF2-4218-A82A-13E9F142233E}" xr6:coauthVersionLast="47" xr6:coauthVersionMax="47" xr10:uidLastSave="{39C51B44-B667-4A85-B104-502D9695B89A}"/>
  <bookViews>
    <workbookView xWindow="-5790" yWindow="-14670" windowWidth="39765" windowHeight="13110" xr2:uid="{B0E0C31E-3AF8-4F43-B955-09E6A9C04711}"/>
  </bookViews>
  <sheets>
    <sheet name="Risikolog" sheetId="1" r:id="rId1"/>
    <sheet name="Inf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M5" i="1" s="1"/>
  <c r="C5" i="1" s="1"/>
  <c r="P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7C9431-668A-4BB5-8F53-8C66B32A51F4}" keepAlive="1" name="Abfrage - Tabelle2" description="Verbindung mit der Abfrage 'Tabelle2' in der Arbeitsmappe." type="5" refreshedVersion="0" background="1">
    <dbPr connection="Provider=Microsoft.Mashup.OleDb.1;Data Source=$Workbook$;Location=Tabelle2;Extended Properties=&quot;&quot;" command="SELECT * FROM [Tabelle2]"/>
  </connection>
</connections>
</file>

<file path=xl/sharedStrings.xml><?xml version="1.0" encoding="utf-8"?>
<sst xmlns="http://schemas.openxmlformats.org/spreadsheetml/2006/main" count="58" uniqueCount="50">
  <si>
    <t>Risiko-Nr.</t>
  </si>
  <si>
    <t>Datum der Indentifizierung</t>
  </si>
  <si>
    <t>Beschreibung</t>
  </si>
  <si>
    <t>Risikokategorie</t>
  </si>
  <si>
    <t>Gesch. Eintrittsdatum</t>
  </si>
  <si>
    <t>Gegenmaßnahme</t>
  </si>
  <si>
    <t>Risikobesitzer</t>
  </si>
  <si>
    <t>Riskomanager</t>
  </si>
  <si>
    <t>Letzte Updates</t>
  </si>
  <si>
    <t>Status</t>
  </si>
  <si>
    <t>Kosten bei Eintritt</t>
  </si>
  <si>
    <t>Risikokosten</t>
  </si>
  <si>
    <t>Qualität</t>
  </si>
  <si>
    <t>Kosten</t>
  </si>
  <si>
    <t>Zeit</t>
  </si>
  <si>
    <t>Ges. Auswirkung</t>
  </si>
  <si>
    <t>Auswirkung (1 - gering / 10 hoch)</t>
  </si>
  <si>
    <t>Wahrscheinlichkeit (%)</t>
  </si>
  <si>
    <t>Risikobehandlung</t>
  </si>
  <si>
    <t>Strategisch/Geschäftlich</t>
  </si>
  <si>
    <t xml:space="preserve"> Gerichtlich/Behördlich</t>
  </si>
  <si>
    <t>Ökonomisch/Finanziell</t>
  </si>
  <si>
    <t>Organisatorisch/Management/Menschlich</t>
  </si>
  <si>
    <t>Politisch</t>
  </si>
  <si>
    <t>Umwelt</t>
  </si>
  <si>
    <t xml:space="preserve">Technisch/Betrieblich/Infrastrukturell  </t>
  </si>
  <si>
    <t>Vermeiden (Bedrohung)</t>
  </si>
  <si>
    <t>Reduzieren (Bedrohung)</t>
  </si>
  <si>
    <t>Eventualfall (Bedrohung)</t>
  </si>
  <si>
    <t>Übertragen (Bedrohung)</t>
  </si>
  <si>
    <t>Akzeptieren (Bedrohung)</t>
  </si>
  <si>
    <t>Teilen (Bedrohung)</t>
  </si>
  <si>
    <t>Steigern (Changse)</t>
  </si>
  <si>
    <t>Ergreifen (Changse)</t>
  </si>
  <si>
    <t>Ablehnen (Changse)</t>
  </si>
  <si>
    <t>Teilen (Changse)</t>
  </si>
  <si>
    <t>T.Blankertz</t>
  </si>
  <si>
    <t>Bob Baumeister</t>
  </si>
  <si>
    <t>Ansteigend</t>
  </si>
  <si>
    <t>Gleichbleibend</t>
  </si>
  <si>
    <t>Absteigend</t>
  </si>
  <si>
    <t xml:space="preserve">Geschlossen </t>
  </si>
  <si>
    <t>Produkt</t>
  </si>
  <si>
    <t>Microsoft Planner</t>
  </si>
  <si>
    <t>Microsoft SharePoint</t>
  </si>
  <si>
    <t xml:space="preserve">Microsoft Project </t>
  </si>
  <si>
    <t>Eingetreten?</t>
  </si>
  <si>
    <t>Risikokenzahl</t>
  </si>
  <si>
    <t>Bewertung</t>
  </si>
  <si>
    <t>Risikoregister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</si>
</sst>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9" formatCode="#,##0.00\ &quot;€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B7E248"/>
      <name val="Aptos Narrow"/>
      <family val="2"/>
      <scheme val="minor"/>
    </font>
    <font>
      <b/>
      <sz val="10"/>
      <color rgb="FFB7E248"/>
      <name val="Aptos Narrow"/>
      <family val="2"/>
      <scheme val="minor"/>
    </font>
    <font>
      <sz val="11"/>
      <color rgb="FFB7E24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27383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2" borderId="0" xfId="0" applyFont="1" applyFill="1" applyAlignment="1">
      <alignment horizontal="center"/>
    </xf>
    <xf numFmtId="44" fontId="3" fillId="0" borderId="0" xfId="1" applyFont="1"/>
    <xf numFmtId="169" fontId="3" fillId="2" borderId="0" xfId="1" applyNumberFormat="1" applyFont="1" applyFill="1"/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/>
    <xf numFmtId="0" fontId="6" fillId="3" borderId="0" xfId="0" applyFont="1" applyFill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9" fontId="4" fillId="2" borderId="0" xfId="2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" fillId="0" borderId="0" xfId="0" applyFont="1" applyFill="1"/>
  </cellXfs>
  <cellStyles count="3">
    <cellStyle name="Prozent" xfId="2" builtinId="5"/>
    <cellStyle name="Standard" xfId="0" builtinId="0"/>
    <cellStyle name="Währung" xfId="1" builtinId="4"/>
  </cellStyles>
  <dxfs count="54">
    <dxf>
      <font>
        <color rgb="FFC00000"/>
      </font>
      <fill>
        <patternFill>
          <bgColor rgb="FFFFC000"/>
        </patternFill>
      </fill>
      <border>
        <left style="thin">
          <color rgb="FFC00000"/>
        </left>
        <right style="thin">
          <color rgb="FFC00000"/>
        </right>
        <bottom style="thin">
          <color rgb="FF27383E"/>
        </bottom>
        <vertical/>
        <horizontal/>
      </border>
    </dxf>
    <dxf>
      <font>
        <color rgb="FFC00000"/>
      </font>
      <fill>
        <patternFill>
          <bgColor theme="5" tint="0.79998168889431442"/>
        </patternFill>
      </fill>
      <border>
        <left style="thin">
          <color rgb="FFC00000"/>
        </left>
        <right style="thin">
          <color rgb="FFC00000"/>
        </right>
        <bottom style="thin">
          <color rgb="FF27383E"/>
        </bottom>
        <vertical/>
        <horizontal/>
      </border>
    </dxf>
    <dxf>
      <font>
        <color theme="3" tint="0.499984740745262"/>
      </font>
      <fill>
        <patternFill>
          <bgColor theme="3" tint="0.89996032593768116"/>
        </patternFill>
      </fill>
      <border>
        <left style="thin">
          <color theme="3" tint="0.499984740745262"/>
        </left>
        <right style="thin">
          <color theme="3" tint="0.499984740745262"/>
        </right>
        <top/>
        <bottom style="thin">
          <color rgb="FF27383E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B7E24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9" formatCode="#,##0.00\ &quot;€&quot;"/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B7E248"/>
        <name val="Aptos Narrow"/>
        <family val="2"/>
        <scheme val="minor"/>
      </font>
      <fill>
        <patternFill patternType="solid">
          <fgColor indexed="64"/>
          <bgColor rgb="FF27383E"/>
        </patternFill>
      </fill>
      <alignment horizontal="center" vertical="center" textRotation="0" wrapText="1" indent="0" justifyLastLine="0" shrinkToFit="0" readingOrder="0"/>
    </dxf>
    <dxf>
      <font>
        <color rgb="FFC00000"/>
      </font>
      <fill>
        <patternFill>
          <bgColor rgb="FFFFC000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rgb="FFC00000"/>
      </font>
      <fill>
        <patternFill>
          <bgColor theme="5" tint="0.79998168889431442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3" tint="0.499984740745262"/>
      </font>
      <fill>
        <patternFill>
          <bgColor theme="3" tint="0.89996032593768116"/>
        </patternFill>
      </fill>
      <border>
        <left style="thin">
          <color theme="3" tint="0.499984740745262"/>
        </left>
        <right style="thin">
          <color theme="3" tint="0.499984740745262"/>
        </right>
        <top/>
        <bottom/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B7E248"/>
        </patternFill>
      </fill>
    </dxf>
    <dxf>
      <font>
        <color rgb="FFC00000"/>
      </font>
      <fill>
        <patternFill>
          <bgColor rgb="FFFFC000"/>
        </patternFill>
      </fill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rgb="FFC00000"/>
      </font>
      <fill>
        <patternFill>
          <bgColor theme="5" tint="0.79998168889431442"/>
        </patternFill>
      </fill>
      <border>
        <left style="dashDotDot">
          <color rgb="FFC00000"/>
        </left>
        <right style="dashDotDot">
          <color rgb="FFC00000"/>
        </right>
        <vertical/>
        <horizontal/>
      </border>
    </dxf>
    <dxf>
      <font>
        <color theme="3" tint="0.499984740745262"/>
      </font>
      <fill>
        <patternFill>
          <bgColor theme="3" tint="0.89996032593768116"/>
        </patternFill>
      </fill>
      <border>
        <left style="dashDotDot">
          <color theme="3" tint="0.499984740745262"/>
        </left>
        <right style="dashDotDot">
          <color theme="3" tint="0.499984740745262"/>
        </right>
        <top style="dashDotDot">
          <color theme="3" tint="0.499984740745262"/>
        </top>
        <bottom style="dashDotDot">
          <color theme="3" tint="0.499984740745262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B7E248"/>
        </patternFill>
      </fill>
    </dxf>
    <dxf>
      <font>
        <color rgb="FFC00000"/>
      </font>
      <fill>
        <patternFill>
          <bgColor theme="5" tint="0.79998168889431442"/>
        </patternFill>
      </fill>
      <border>
        <left style="dashDotDot">
          <color rgb="FFC00000"/>
        </left>
        <right style="dashDotDot">
          <color rgb="FFC00000"/>
        </right>
        <vertical/>
        <horizontal/>
      </border>
    </dxf>
    <dxf>
      <font>
        <color theme="3" tint="0.499984740745262"/>
      </font>
      <fill>
        <patternFill>
          <bgColor theme="3" tint="0.89996032593768116"/>
        </patternFill>
      </fill>
      <border>
        <left style="dashDotDot">
          <color theme="3" tint="0.499984740745262"/>
        </left>
        <right style="dashDotDot">
          <color theme="3" tint="0.499984740745262"/>
        </right>
        <top style="dashDotDot">
          <color theme="3" tint="0.499984740745262"/>
        </top>
        <bottom style="dashDotDot">
          <color theme="3" tint="0.499984740745262"/>
        </bottom>
        <vertical/>
        <horizontal/>
      </border>
    </dxf>
    <dxf>
      <font>
        <color theme="3" tint="0.499984740745262"/>
      </font>
      <fill>
        <patternFill>
          <bgColor theme="3" tint="0.89996032593768116"/>
        </patternFill>
      </fill>
      <border>
        <left style="dashDotDot">
          <color theme="3" tint="0.499984740745262"/>
        </left>
        <right style="dashDotDot">
          <color theme="3" tint="0.499984740745262"/>
        </right>
        <top style="dashDotDot">
          <color theme="3" tint="0.499984740745262"/>
        </top>
        <bottom style="dashDotDot">
          <color theme="3" tint="0.499984740745262"/>
        </bottom>
        <vertical/>
        <horizontal/>
      </border>
    </dxf>
    <dxf>
      <border>
        <left style="thin">
          <color rgb="FF27383E"/>
        </left>
        <right style="thin">
          <color rgb="FF27383E"/>
        </right>
        <bottom style="thin">
          <color rgb="FF415D67"/>
        </bottom>
      </border>
    </dxf>
    <dxf>
      <fill>
        <patternFill>
          <bgColor theme="0" tint="-4.9989318521683403E-2"/>
        </patternFill>
      </fill>
      <border>
        <left style="thin">
          <color rgb="FF27383E"/>
        </left>
        <right style="thin">
          <color rgb="FF27383E"/>
        </right>
        <bottom style="thin">
          <color rgb="FF415D67"/>
        </bottom>
      </border>
    </dxf>
    <dxf>
      <font>
        <b val="0"/>
        <i val="0"/>
        <color rgb="FFB7E248"/>
      </font>
      <fill>
        <patternFill>
          <bgColor rgb="FF27383E"/>
        </patternFill>
      </fill>
    </dxf>
    <dxf>
      <fill>
        <patternFill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2" defaultTableStyle="TableStyleMedium2" defaultPivotStyle="PivotStyleLight16">
    <tableStyle name="Tabellenformat 1" pivot="0" count="1" xr9:uid="{9A6D5ED0-6559-412A-9326-0AE13AA47983}">
      <tableStyleElement type="firstRowStripe" dxfId="45"/>
    </tableStyle>
    <tableStyle name="Tabellenformat 2" pivot="0" count="3" xr9:uid="{8C611CA8-BFAD-4518-8E11-849F5AE75319}">
      <tableStyleElement type="headerRow" dxfId="44"/>
      <tableStyleElement type="firstRowStripe" dxfId="43"/>
      <tableStyleElement type="secondRowStripe" dxfId="42"/>
    </tableStyle>
  </tableStyles>
  <colors>
    <mruColors>
      <color rgb="FF27383E"/>
      <color rgb="FFB7E248"/>
      <color rgb="FF415D67"/>
      <color rgb="FF415D8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E11AA-57C1-43FA-8709-E4D7EAE230DD}" name="Tabelle2" displayName="Tabelle2" ref="B4:W5" totalsRowShown="0" headerRowDxfId="28" dataDxfId="27">
  <autoFilter ref="B4:W5" xr:uid="{E26E11AA-57C1-43FA-8709-E4D7EAE230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DBBB3325-343B-49D3-8585-4D5AC3CB8FB9}" name="Risiko-Nr." dataDxfId="26"/>
    <tableColumn id="23" xr3:uid="{41DAFEFA-F932-4EE6-AD1A-3E185090795B}" name="Bewertung" dataDxfId="25">
      <calculatedColumnFormula>IF(Tabelle2[[#This Row],[Risikokenzahl]]&lt;1.2,"Geringes Risiko",IF(Tabelle2[[#This Row],[Risikokenzahl]]&gt;=4,"Hohes Risiko","Beobachtung"))</calculatedColumnFormula>
    </tableColumn>
    <tableColumn id="2" xr3:uid="{E6E1CB28-1E43-4C9B-9FA2-F3AA8B4D37FC}" name="Datum der Indentifizierung" dataDxfId="24"/>
    <tableColumn id="3" xr3:uid="{AF0968CF-A885-4298-845F-FCB05996512A}" name="Beschreibung" dataDxfId="23"/>
    <tableColumn id="4" xr3:uid="{7578486B-6FD3-4614-A02E-D41D2F5C08DC}" name="Produkt" dataDxfId="22"/>
    <tableColumn id="5" xr3:uid="{BECC1247-1047-4C99-A0F2-19531E5718E9}" name="Risikokategorie" dataDxfId="21"/>
    <tableColumn id="7" xr3:uid="{F29B5668-C36C-45D3-BFA0-89F0E4FC14C7}" name="Qualität" dataDxfId="20"/>
    <tableColumn id="8" xr3:uid="{9ED21533-9700-45C4-A4D7-4E4D3BB6C360}" name="Kosten" dataDxfId="19"/>
    <tableColumn id="9" xr3:uid="{261344FC-FE8A-4319-95E5-D3D536C06534}" name="Zeit" dataDxfId="18"/>
    <tableColumn id="10" xr3:uid="{53D7BDB4-40AF-4795-8E55-92AD2A39C0EB}" name="Ges. Auswirkung" dataDxfId="17">
      <calculatedColumnFormula>IF(COUNT(H5:J5)=3,AVERAGE(H5:J5),0)</calculatedColumnFormula>
    </tableColumn>
    <tableColumn id="11" xr3:uid="{63CDCE5B-C966-49E4-A1E2-043D71203AF0}" name="Wahrscheinlichkeit (%)" dataDxfId="16" dataCellStyle="Prozent"/>
    <tableColumn id="22" xr3:uid="{BB4697F5-74D5-4B13-A33F-645265C16CD9}" name="Risikokenzahl" dataDxfId="15" dataCellStyle="Prozent">
      <calculatedColumnFormula>(Tabelle2[[#This Row],[Wahrscheinlichkeit (%)]])*Tabelle2[[#This Row],[Ges. Auswirkung]]</calculatedColumnFormula>
    </tableColumn>
    <tableColumn id="12" xr3:uid="{29458F2F-D883-4636-AC22-C7C21A0E63B2}" name="Gesch. Eintrittsdatum" dataDxfId="14"/>
    <tableColumn id="13" xr3:uid="{D86D6B68-B410-493F-B0BB-CDDA0387C571}" name="Kosten bei Eintritt" dataDxfId="13" dataCellStyle="Währung"/>
    <tableColumn id="14" xr3:uid="{E3B235FA-4C40-4FCD-91B4-7291700BFBCE}" name="Risikokosten" dataDxfId="12" dataCellStyle="Währung">
      <calculatedColumnFormula>O5*L5</calculatedColumnFormula>
    </tableColumn>
    <tableColumn id="15" xr3:uid="{48579A00-7BB8-4D2E-BBE4-7EC742764227}" name="Risikobehandlung" dataDxfId="11"/>
    <tableColumn id="16" xr3:uid="{80CB7ED5-0664-4412-A6A6-73DA221A36CB}" name="Gegenmaßnahme" dataDxfId="10"/>
    <tableColumn id="17" xr3:uid="{BE4CBEA9-CF56-4BAD-9C9E-E774E9A6F2DE}" name="Risikobesitzer" dataDxfId="9"/>
    <tableColumn id="18" xr3:uid="{1119DB36-2464-4366-85B5-52D8EF22E152}" name="Riskomanager" dataDxfId="8"/>
    <tableColumn id="19" xr3:uid="{9FB0BD9D-167B-4903-9E2E-6F223C0154FC}" name="Letzte Updates" dataDxfId="7"/>
    <tableColumn id="20" xr3:uid="{30E438E9-DD36-4346-8CCD-2DFD08EC48C2}" name="Status" dataDxfId="6"/>
    <tableColumn id="21" xr3:uid="{A0994265-51B4-45E5-8653-C9A5EAA6F277}" name="Eingetreten?" dataDxfId="5"/>
  </tableColumns>
  <tableStyleInfo name="Tabellenformat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D1D1A-C170-4E87-82AE-9C9E39D3311F}" name="Tabelle1" displayName="Tabelle1" ref="B3:G13" totalsRowShown="0" headerRowDxfId="52" dataDxfId="51">
  <autoFilter ref="B3:G13" xr:uid="{248D1D1A-C170-4E87-82AE-9C9E39D331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517B9BC-D927-4D6A-9533-897E08C14255}" name="Risikokategorie" dataDxfId="53"/>
    <tableColumn id="2" xr3:uid="{EAC4F7D2-8550-41F8-8B2D-D3EF0ADE1587}" name="Risikobehandlung" dataDxfId="50"/>
    <tableColumn id="3" xr3:uid="{7C6773C9-754B-4433-ADEA-D230395862FF}" name="Risikobesitzer" dataDxfId="49"/>
    <tableColumn id="4" xr3:uid="{3D4BBFD8-A211-46D0-AAC8-B71E8CD06B20}" name="Riskomanager" dataDxfId="48"/>
    <tableColumn id="5" xr3:uid="{2266BC53-2E2B-42E6-9F26-B02D1C958C8F}" name="Status" dataDxfId="47"/>
    <tableColumn id="6" xr3:uid="{9A7D7A20-CE3C-416D-B0C3-772ED48B5EAD}" name="Produkt" dataDxfId="46"/>
  </tableColumns>
  <tableStyleInfo name="Tabellenformat 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BA2E-15C4-4A8A-B267-A1B8EC007C56}">
  <sheetPr>
    <tabColor rgb="FFC00000"/>
  </sheetPr>
  <dimension ref="B2:W5"/>
  <sheetViews>
    <sheetView showGridLines="0" tabSelected="1" workbookViewId="0">
      <selection activeCell="D9" sqref="D9"/>
    </sheetView>
  </sheetViews>
  <sheetFormatPr baseColWidth="10" defaultRowHeight="14.25" x14ac:dyDescent="0.45"/>
  <cols>
    <col min="2" max="2" width="9.59765625" customWidth="1"/>
    <col min="3" max="3" width="12.265625" customWidth="1"/>
    <col min="4" max="4" width="14.6640625" customWidth="1"/>
    <col min="5" max="5" width="36.796875" customWidth="1"/>
    <col min="6" max="6" width="13.33203125" customWidth="1"/>
    <col min="7" max="7" width="15.73046875" customWidth="1"/>
    <col min="8" max="8" width="8.53125" customWidth="1"/>
    <col min="9" max="9" width="7.9296875" customWidth="1"/>
    <col min="10" max="10" width="8.33203125" customWidth="1"/>
    <col min="11" max="11" width="16.796875" customWidth="1"/>
    <col min="12" max="13" width="19.86328125" customWidth="1"/>
    <col min="14" max="14" width="13.73046875" customWidth="1"/>
    <col min="15" max="15" width="12.6640625" customWidth="1"/>
    <col min="16" max="16" width="12" customWidth="1"/>
    <col min="17" max="17" width="18.46484375" bestFit="1" customWidth="1"/>
    <col min="18" max="18" width="34.6640625" customWidth="1"/>
    <col min="19" max="19" width="16" customWidth="1"/>
    <col min="20" max="20" width="12.796875" customWidth="1"/>
    <col min="21" max="21" width="13.46484375" customWidth="1"/>
    <col min="23" max="23" width="12" style="2" customWidth="1"/>
  </cols>
  <sheetData>
    <row r="2" spans="2:23" x14ac:dyDescent="0.45">
      <c r="B2" s="14" t="s">
        <v>49</v>
      </c>
      <c r="C2" s="14"/>
    </row>
    <row r="3" spans="2:23" x14ac:dyDescent="0.45">
      <c r="B3" s="12"/>
      <c r="C3" s="12"/>
      <c r="D3" s="12"/>
      <c r="E3" s="12"/>
      <c r="F3" s="12"/>
      <c r="G3" s="12"/>
      <c r="H3" s="13" t="s">
        <v>16</v>
      </c>
      <c r="I3" s="13"/>
      <c r="J3" s="13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7"/>
    </row>
    <row r="4" spans="2:23" s="4" customFormat="1" ht="31.9" customHeight="1" x14ac:dyDescent="0.45">
      <c r="B4" s="10" t="s">
        <v>0</v>
      </c>
      <c r="C4" s="10" t="s">
        <v>48</v>
      </c>
      <c r="D4" s="10" t="s">
        <v>1</v>
      </c>
      <c r="E4" s="10" t="s">
        <v>2</v>
      </c>
      <c r="F4" s="10" t="s">
        <v>42</v>
      </c>
      <c r="G4" s="10" t="s">
        <v>3</v>
      </c>
      <c r="H4" s="11" t="s">
        <v>12</v>
      </c>
      <c r="I4" s="11" t="s">
        <v>13</v>
      </c>
      <c r="J4" s="11" t="s">
        <v>14</v>
      </c>
      <c r="K4" s="10" t="s">
        <v>15</v>
      </c>
      <c r="L4" s="10" t="s">
        <v>17</v>
      </c>
      <c r="M4" s="10" t="s">
        <v>47</v>
      </c>
      <c r="N4" s="10" t="s">
        <v>4</v>
      </c>
      <c r="O4" s="10" t="s">
        <v>10</v>
      </c>
      <c r="P4" s="10" t="s">
        <v>11</v>
      </c>
      <c r="Q4" s="10" t="s">
        <v>18</v>
      </c>
      <c r="R4" s="10" t="s">
        <v>5</v>
      </c>
      <c r="S4" s="10" t="s">
        <v>6</v>
      </c>
      <c r="T4" s="10" t="s">
        <v>7</v>
      </c>
      <c r="U4" s="10" t="s">
        <v>8</v>
      </c>
      <c r="V4" s="10" t="s">
        <v>9</v>
      </c>
      <c r="W4" s="11" t="s">
        <v>46</v>
      </c>
    </row>
    <row r="5" spans="2:23" s="1" customFormat="1" x14ac:dyDescent="0.45">
      <c r="B5" s="5">
        <v>1</v>
      </c>
      <c r="C5" s="5" t="str">
        <f>IF(Tabelle2[[#This Row],[Risikokenzahl]]&lt;1.2,"Geringes Risiko",IF(Tabelle2[[#This Row],[Risikokenzahl]]&gt;=4,"Hohes Risiko","Beobachtung"))</f>
        <v>Geringes Risiko</v>
      </c>
      <c r="D5" s="6"/>
      <c r="H5" s="7"/>
      <c r="I5" s="7"/>
      <c r="J5" s="7"/>
      <c r="K5" s="15">
        <f t="shared" ref="K5" si="0">IF(COUNT(H5:J5)=3,AVERAGE(H5:J5),0)</f>
        <v>0</v>
      </c>
      <c r="L5" s="16"/>
      <c r="M5" s="15">
        <f>(Tabelle2[[#This Row],[Wahrscheinlichkeit (%)]])*Tabelle2[[#This Row],[Ges. Auswirkung]]</f>
        <v>0</v>
      </c>
      <c r="N5" s="6"/>
      <c r="O5" s="9">
        <v>3500</v>
      </c>
      <c r="P5" s="8">
        <f>O5*L5</f>
        <v>0</v>
      </c>
      <c r="Q5" s="1" t="s">
        <v>30</v>
      </c>
      <c r="U5" s="6"/>
      <c r="V5" s="18" t="s">
        <v>38</v>
      </c>
      <c r="W5" s="5"/>
    </row>
  </sheetData>
  <mergeCells count="1">
    <mergeCell ref="H3:J3"/>
  </mergeCells>
  <conditionalFormatting sqref="W5">
    <cfRule type="containsText" dxfId="4" priority="4" operator="containsText" text="Ja">
      <formula>NOT(ISERROR(SEARCH("Ja",W5)))</formula>
    </cfRule>
    <cfRule type="containsText" dxfId="3" priority="5" operator="containsText" text="Nein">
      <formula>NOT(ISERROR(SEARCH("Nein",W5)))</formula>
    </cfRule>
  </conditionalFormatting>
  <conditionalFormatting sqref="C5">
    <cfRule type="containsText" dxfId="2" priority="3" operator="containsText" text="Geringes Risiko">
      <formula>NOT(ISERROR(SEARCH("Geringes Risiko",C5)))</formula>
    </cfRule>
    <cfRule type="containsText" dxfId="1" priority="2" operator="containsText" text="Hohes Risiko">
      <formula>NOT(ISERROR(SEARCH("Hohes Risiko",C5)))</formula>
    </cfRule>
    <cfRule type="containsText" dxfId="0" priority="1" operator="containsText" text="Beobachtung">
      <formula>NOT(ISERROR(SEARCH("Beobachtung",C5)))</formula>
    </cfRule>
  </conditionalFormatting>
  <dataValidations count="3">
    <dataValidation type="list" allowBlank="1" showInputMessage="1" showErrorMessage="1" sqref="W5" xr:uid="{72DD3A86-A36D-41CB-B32E-175F918618BF}">
      <formula1>"Ja, Nein"</formula1>
    </dataValidation>
    <dataValidation type="list" allowBlank="1" showInputMessage="1" showErrorMessage="1" sqref="L5" xr:uid="{C850EE2E-15CF-453F-8245-3E7EE09492ED}">
      <mc:AlternateContent xmlns:x12ac="http://schemas.microsoft.com/office/spreadsheetml/2011/1/ac" xmlns:mc="http://schemas.openxmlformats.org/markup-compatibility/2006">
        <mc:Choice Requires="x12ac">
          <x12ac:list>"0,10"," 0,20"," 0,30"," 0,40","0,50","0,60","0,70","0,80","0,90",1</x12ac:list>
        </mc:Choice>
        <mc:Fallback>
          <formula1>"0,10, 0,20, 0,30, 0,40,0,50,0,60,0,70,0,80,0,90,1"</formula1>
        </mc:Fallback>
      </mc:AlternateContent>
    </dataValidation>
    <dataValidation type="list" allowBlank="1" showInputMessage="1" showErrorMessage="1" sqref="H5:J5" xr:uid="{D505A69D-00F7-401A-A687-94A5FA0BBFBF}">
      <formula1>"1,2,3,4,5,6,7,8,9,10"</formula1>
    </dataValidation>
  </dataValidations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8CDC744-3CE5-43EA-A642-06B96D5C0552}">
          <x14:formula1>
            <xm:f>Infos!$B$4:$B$13</xm:f>
          </x14:formula1>
          <xm:sqref>G5</xm:sqref>
        </x14:dataValidation>
        <x14:dataValidation type="list" allowBlank="1" showInputMessage="1" showErrorMessage="1" xr:uid="{375CE8AB-F782-40E3-A863-9C9183B5A9B9}">
          <x14:formula1>
            <xm:f>Infos!$C$4:$C$13</xm:f>
          </x14:formula1>
          <xm:sqref>Q5</xm:sqref>
        </x14:dataValidation>
        <x14:dataValidation type="list" allowBlank="1" showInputMessage="1" showErrorMessage="1" xr:uid="{F059AB2C-FBB6-4FB1-9B4F-D9A728D1E616}">
          <x14:formula1>
            <xm:f>Infos!$D$4:$D$13</xm:f>
          </x14:formula1>
          <xm:sqref>S5</xm:sqref>
        </x14:dataValidation>
        <x14:dataValidation type="list" allowBlank="1" showInputMessage="1" showErrorMessage="1" xr:uid="{5F6AFDC6-27D6-40AA-BA98-7D47EEDC3A89}">
          <x14:formula1>
            <xm:f>Infos!$E$4:$E$13</xm:f>
          </x14:formula1>
          <xm:sqref>T5</xm:sqref>
        </x14:dataValidation>
        <x14:dataValidation type="list" allowBlank="1" showInputMessage="1" showErrorMessage="1" xr:uid="{030912B7-6513-430E-99D0-C55CA33919AD}">
          <x14:formula1>
            <xm:f>Infos!$F$4:$F$13</xm:f>
          </x14:formula1>
          <xm:sqref>V5</xm:sqref>
        </x14:dataValidation>
        <x14:dataValidation type="list" allowBlank="1" showInputMessage="1" showErrorMessage="1" xr:uid="{FA071CA7-DE9E-47D6-BF3C-4C51223E231A}">
          <x14:formula1>
            <xm:f>Infos!$G$4:$G$13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E3A2-3E20-44C5-ADDA-6C43BD94A848}">
  <sheetPr>
    <tabColor theme="4" tint="0.79998168889431442"/>
  </sheetPr>
  <dimension ref="B3:G13"/>
  <sheetViews>
    <sheetView showGridLines="0" showRowColHeaders="0" workbookViewId="0">
      <selection activeCell="E15" sqref="E15"/>
    </sheetView>
  </sheetViews>
  <sheetFormatPr baseColWidth="10" defaultRowHeight="14.25" x14ac:dyDescent="0.45"/>
  <cols>
    <col min="2" max="2" width="31.46484375" customWidth="1"/>
    <col min="3" max="3" width="18.6640625" bestFit="1" customWidth="1"/>
    <col min="6" max="6" width="11.73046875" bestFit="1" customWidth="1"/>
    <col min="7" max="7" width="15.86328125" bestFit="1" customWidth="1"/>
  </cols>
  <sheetData>
    <row r="3" spans="2:7" x14ac:dyDescent="0.45">
      <c r="B3" s="1" t="s">
        <v>3</v>
      </c>
      <c r="C3" s="1" t="s">
        <v>18</v>
      </c>
      <c r="D3" s="1" t="s">
        <v>6</v>
      </c>
      <c r="E3" s="1" t="s">
        <v>7</v>
      </c>
      <c r="F3" s="1" t="s">
        <v>9</v>
      </c>
      <c r="G3" s="1" t="s">
        <v>42</v>
      </c>
    </row>
    <row r="4" spans="2:7" x14ac:dyDescent="0.45">
      <c r="B4" s="1" t="s">
        <v>19</v>
      </c>
      <c r="C4" s="1" t="s">
        <v>26</v>
      </c>
      <c r="D4" s="1" t="s">
        <v>36</v>
      </c>
      <c r="E4" s="1" t="s">
        <v>37</v>
      </c>
      <c r="F4" s="1" t="s">
        <v>38</v>
      </c>
      <c r="G4" s="1" t="s">
        <v>43</v>
      </c>
    </row>
    <row r="5" spans="2:7" x14ac:dyDescent="0.45">
      <c r="B5" s="1" t="s">
        <v>20</v>
      </c>
      <c r="C5" s="1" t="s">
        <v>27</v>
      </c>
      <c r="D5" s="1"/>
      <c r="E5" s="1"/>
      <c r="F5" s="1" t="s">
        <v>39</v>
      </c>
      <c r="G5" s="1" t="s">
        <v>44</v>
      </c>
    </row>
    <row r="6" spans="2:7" x14ac:dyDescent="0.45">
      <c r="B6" s="1" t="s">
        <v>21</v>
      </c>
      <c r="C6" s="1" t="s">
        <v>28</v>
      </c>
      <c r="D6" s="1"/>
      <c r="E6" s="1"/>
      <c r="F6" s="1" t="s">
        <v>40</v>
      </c>
      <c r="G6" s="1" t="s">
        <v>45</v>
      </c>
    </row>
    <row r="7" spans="2:7" x14ac:dyDescent="0.45">
      <c r="B7" s="1" t="s">
        <v>22</v>
      </c>
      <c r="C7" s="1" t="s">
        <v>29</v>
      </c>
      <c r="D7" s="1"/>
      <c r="E7" s="1"/>
      <c r="F7" s="1" t="s">
        <v>41</v>
      </c>
      <c r="G7" s="1"/>
    </row>
    <row r="8" spans="2:7" x14ac:dyDescent="0.45">
      <c r="B8" s="1" t="s">
        <v>23</v>
      </c>
      <c r="C8" s="1" t="s">
        <v>30</v>
      </c>
      <c r="D8" s="1"/>
      <c r="E8" s="1"/>
      <c r="F8" s="1"/>
      <c r="G8" s="1"/>
    </row>
    <row r="9" spans="2:7" x14ac:dyDescent="0.45">
      <c r="B9" s="1" t="s">
        <v>24</v>
      </c>
      <c r="C9" s="1" t="s">
        <v>31</v>
      </c>
      <c r="D9" s="1"/>
      <c r="E9" s="1"/>
      <c r="F9" s="1"/>
      <c r="G9" s="1"/>
    </row>
    <row r="10" spans="2:7" x14ac:dyDescent="0.45">
      <c r="B10" s="1" t="s">
        <v>25</v>
      </c>
      <c r="C10" s="3" t="s">
        <v>32</v>
      </c>
      <c r="D10" s="1"/>
      <c r="E10" s="1"/>
      <c r="F10" s="1"/>
      <c r="G10" s="1"/>
    </row>
    <row r="11" spans="2:7" x14ac:dyDescent="0.45">
      <c r="B11" s="1"/>
      <c r="C11" s="1" t="s">
        <v>33</v>
      </c>
      <c r="D11" s="1"/>
      <c r="E11" s="1"/>
      <c r="F11" s="1"/>
      <c r="G11" s="1"/>
    </row>
    <row r="12" spans="2:7" x14ac:dyDescent="0.45">
      <c r="B12" s="1"/>
      <c r="C12" s="1" t="s">
        <v>34</v>
      </c>
      <c r="D12" s="1"/>
      <c r="E12" s="1"/>
      <c r="F12" s="1"/>
      <c r="G12" s="1"/>
    </row>
    <row r="13" spans="2:7" x14ac:dyDescent="0.45">
      <c r="B13" s="1"/>
      <c r="C13" s="1" t="s">
        <v>35</v>
      </c>
      <c r="D13" s="1"/>
      <c r="E13" s="1"/>
      <c r="F13" s="1"/>
      <c r="G13" s="1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B8FD4-6534-4C4E-9A4C-7EB5E78571F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8122edf-ddd7-4b7c-bda4-93234ea7545e}" enabled="0" method="" siteId="{58122edf-ddd7-4b7c-bda4-93234ea7545e}" removed="1"/>
  <clbl:label id="{e7babec9-f3b6-4334-8eb3-40bc51c07e6b}" enabled="1" method="Standard" siteId="{8ad0188f-2879-4557-bf50-187f72dfeed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Risikolog</vt:lpstr>
      <vt:lpstr>Infos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Blankertz, Torben</dc:creator>
  <cp:lastModifiedBy>Torben Blankertz</cp:lastModifiedBy>
  <dcterms:created xsi:type="dcterms:W3CDTF">2026-03-04T07:48:06Z</dcterms:created>
  <dcterms:modified xsi:type="dcterms:W3CDTF">2026-03-04T09:46:11Z</dcterms:modified>
</cp:coreProperties>
</file>