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05" codeName="{00000000-0000-0000-0000-00000000000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TorbenBlankertz\OneDrive\Vordrucke\Bechtle\"/>
    </mc:Choice>
  </mc:AlternateContent>
  <xr:revisionPtr revIDLastSave="0" documentId="8_{0B8722C0-9F49-484C-906E-02410F0509F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isikomanagement" sheetId="5" r:id="rId1"/>
    <sheet name="Infos" sheetId="7" r:id="rId2"/>
  </sheets>
  <definedNames>
    <definedName name="_xlnm.Print_Area" localSheetId="0">Risikomanagement!$B$6:$R$43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5" l="1"/>
  <c r="L8" i="5" s="1"/>
  <c r="AA12" i="5" l="1"/>
  <c r="AA35" i="5" l="1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U17" i="5"/>
  <c r="V17" i="5" s="1"/>
  <c r="U18" i="5"/>
  <c r="V18" i="5" s="1"/>
  <c r="U16" i="5"/>
  <c r="V16" i="5" s="1"/>
  <c r="U15" i="5"/>
  <c r="V15" i="5" s="1"/>
  <c r="U14" i="5"/>
  <c r="V14" i="5" s="1"/>
  <c r="U12" i="5"/>
  <c r="U13" i="5"/>
  <c r="V13" i="5" s="1"/>
  <c r="K35" i="5"/>
  <c r="L35" i="5" s="1"/>
  <c r="K36" i="5"/>
  <c r="L36" i="5" s="1"/>
  <c r="K37" i="5"/>
  <c r="L37" i="5" s="1"/>
  <c r="K38" i="5"/>
  <c r="L38" i="5" s="1"/>
  <c r="K39" i="5"/>
  <c r="L39" i="5" s="1"/>
  <c r="K40" i="5"/>
  <c r="L40" i="5" s="1"/>
  <c r="K41" i="5"/>
  <c r="L41" i="5" s="1"/>
  <c r="K42" i="5"/>
  <c r="L42" i="5" s="1"/>
  <c r="K43" i="5"/>
  <c r="L43" i="5" s="1"/>
  <c r="K9" i="5"/>
  <c r="L9" i="5" s="1"/>
  <c r="M9" i="5" s="1"/>
  <c r="K10" i="5"/>
  <c r="L10" i="5" s="1"/>
  <c r="K11" i="5"/>
  <c r="L11" i="5" s="1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 s="1"/>
  <c r="K18" i="5"/>
  <c r="L18" i="5" s="1"/>
  <c r="K19" i="5"/>
  <c r="L19" i="5" s="1"/>
  <c r="K20" i="5"/>
  <c r="L20" i="5" s="1"/>
  <c r="K21" i="5"/>
  <c r="L21" i="5" s="1"/>
  <c r="K22" i="5"/>
  <c r="L22" i="5" s="1"/>
  <c r="K23" i="5"/>
  <c r="L23" i="5" s="1"/>
  <c r="K24" i="5"/>
  <c r="L24" i="5" s="1"/>
  <c r="K25" i="5"/>
  <c r="L25" i="5" s="1"/>
  <c r="K26" i="5"/>
  <c r="L26" i="5" s="1"/>
  <c r="K27" i="5"/>
  <c r="M27" i="5" s="1"/>
  <c r="K28" i="5"/>
  <c r="L28" i="5" s="1"/>
  <c r="K29" i="5"/>
  <c r="L29" i="5" s="1"/>
  <c r="K30" i="5"/>
  <c r="L30" i="5" s="1"/>
  <c r="K31" i="5"/>
  <c r="M31" i="5" s="1"/>
  <c r="K32" i="5"/>
  <c r="L32" i="5" s="1"/>
  <c r="K33" i="5"/>
  <c r="L33" i="5" s="1"/>
  <c r="K34" i="5"/>
  <c r="L34" i="5" s="1"/>
  <c r="M20" i="5"/>
  <c r="M29" i="5"/>
  <c r="M12" i="5" l="1"/>
  <c r="M11" i="5"/>
  <c r="M19" i="5"/>
  <c r="M42" i="5"/>
  <c r="M15" i="5"/>
  <c r="M23" i="5"/>
  <c r="M36" i="5"/>
  <c r="M26" i="5"/>
  <c r="M18" i="5"/>
  <c r="M10" i="5"/>
  <c r="M25" i="5"/>
  <c r="M17" i="5"/>
  <c r="M24" i="5"/>
  <c r="M16" i="5"/>
  <c r="M40" i="5"/>
  <c r="M22" i="5"/>
  <c r="M14" i="5"/>
  <c r="M38" i="5"/>
  <c r="M21" i="5"/>
  <c r="M13" i="5"/>
  <c r="M33" i="5"/>
  <c r="U4" i="5"/>
  <c r="M43" i="5"/>
  <c r="M41" i="5"/>
  <c r="M39" i="5"/>
  <c r="M37" i="5"/>
  <c r="M35" i="5"/>
  <c r="L31" i="5"/>
  <c r="L27" i="5"/>
  <c r="M34" i="5"/>
  <c r="M32" i="5"/>
  <c r="M30" i="5"/>
  <c r="M28" i="5"/>
  <c r="W12" i="5"/>
  <c r="M8" i="5"/>
  <c r="W17" i="5"/>
  <c r="W15" i="5"/>
  <c r="W13" i="5"/>
  <c r="V12" i="5"/>
  <c r="W18" i="5"/>
  <c r="W16" i="5"/>
  <c r="W14" i="5"/>
</calcChain>
</file>

<file path=xl/sharedStrings.xml><?xml version="1.0" encoding="utf-8"?>
<sst xmlns="http://schemas.openxmlformats.org/spreadsheetml/2006/main" count="73" uniqueCount="35">
  <si>
    <t>Risiko
Nr</t>
  </si>
  <si>
    <t>Autor</t>
  </si>
  <si>
    <t>Datum der
Identifizierung</t>
  </si>
  <si>
    <t>Beschreibung</t>
  </si>
  <si>
    <t>Risikokategorie</t>
  </si>
  <si>
    <t xml:space="preserve">Auswirkung </t>
  </si>
  <si>
    <t>EWS %</t>
  </si>
  <si>
    <t>AUSW %</t>
  </si>
  <si>
    <t>Kom.</t>
  </si>
  <si>
    <t>Auswirkung</t>
  </si>
  <si>
    <t>In welcher 
zeitlichen Nähe</t>
  </si>
  <si>
    <t>Gegenmaßnahmen</t>
  </si>
  <si>
    <t>Besitzer</t>
  </si>
  <si>
    <t>Letztes Update</t>
  </si>
  <si>
    <t>Status</t>
  </si>
  <si>
    <t>Q</t>
  </si>
  <si>
    <t>K</t>
  </si>
  <si>
    <t>Z</t>
  </si>
  <si>
    <t>Gleichbleibend</t>
  </si>
  <si>
    <t>Verteilung der Risiken im Projekt nach Art:</t>
  </si>
  <si>
    <t>Risikobesitzer:</t>
  </si>
  <si>
    <t>Anzahl</t>
  </si>
  <si>
    <t>EWS Kum.</t>
  </si>
  <si>
    <t>AUSW. Kum</t>
  </si>
  <si>
    <t>Projektteilnehmen</t>
  </si>
  <si>
    <t>Strategisch/Geschäftlich</t>
  </si>
  <si>
    <t>T. Blankertz</t>
  </si>
  <si>
    <t>Gerichtlich/Behördlich</t>
  </si>
  <si>
    <t>H. Dosenkohl</t>
  </si>
  <si>
    <t>Ökonomisch/Finanzell</t>
  </si>
  <si>
    <t>Organisatorisch/Management/Menschlich</t>
  </si>
  <si>
    <t>Politisch</t>
  </si>
  <si>
    <t>Umwelt</t>
  </si>
  <si>
    <t>Technisch/Betrieblich/Infrastrukturell</t>
  </si>
  <si>
    <t>Projektteilnehmer: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</si>
</sst>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0"/>
      <color theme="1"/>
      <name val="Arial"/>
      <family val="2"/>
    </font>
    <font>
      <sz val="8"/>
      <color theme="1"/>
      <name val="Arial"/>
      <family val="2"/>
    </font>
    <font>
      <b/>
      <i/>
      <sz val="8"/>
      <name val="Arial"/>
      <family val="2"/>
    </font>
    <font>
      <b/>
      <i/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DEFAB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/>
    <xf numFmtId="14" fontId="1" fillId="5" borderId="1" xfId="0" applyNumberFormat="1" applyFont="1" applyFill="1" applyBorder="1" applyAlignment="1">
      <alignment horizontal="center"/>
    </xf>
    <xf numFmtId="0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1" fillId="7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left"/>
    </xf>
    <xf numFmtId="0" fontId="3" fillId="2" borderId="14" xfId="0" applyFont="1" applyFill="1" applyBorder="1" applyAlignment="1">
      <alignment horizontal="left"/>
    </xf>
    <xf numFmtId="0" fontId="0" fillId="0" borderId="8" xfId="0" applyBorder="1"/>
    <xf numFmtId="0" fontId="0" fillId="0" borderId="11" xfId="0" applyBorder="1"/>
    <xf numFmtId="0" fontId="1" fillId="3" borderId="12" xfId="0" applyFont="1" applyFill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7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5" xfId="0" applyBorder="1"/>
    <xf numFmtId="0" fontId="0" fillId="0" borderId="6" xfId="0" applyBorder="1"/>
    <xf numFmtId="0" fontId="1" fillId="3" borderId="4" xfId="0" applyFont="1" applyFill="1" applyBorder="1" applyAlignment="1">
      <alignment horizontal="left"/>
    </xf>
    <xf numFmtId="0" fontId="1" fillId="3" borderId="13" xfId="0" applyFont="1" applyFill="1" applyBorder="1" applyAlignment="1">
      <alignment horizontal="left"/>
    </xf>
    <xf numFmtId="0" fontId="1" fillId="3" borderId="14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14" fontId="1" fillId="5" borderId="1" xfId="0" applyNumberFormat="1" applyFon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" fontId="1" fillId="5" borderId="1" xfId="0" applyNumberFormat="1" applyFont="1" applyFill="1" applyBorder="1"/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9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</cellXfs>
  <cellStyles count="1">
    <cellStyle name="Standard" xfId="0" builtinId="0"/>
  </cellStyles>
  <dxfs count="4">
    <dxf>
      <font>
        <b val="0"/>
        <i val="0"/>
      </font>
      <fill>
        <patternFill patternType="solid"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EDEFA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90857836482434E-2"/>
          <c:y val="5.4522903131886187E-2"/>
          <c:w val="0.65012175709273734"/>
          <c:h val="0.89095419373622697"/>
        </c:manualLayout>
      </c:layout>
      <c:bubbleChart>
        <c:varyColors val="0"/>
        <c:ser>
          <c:idx val="0"/>
          <c:order val="0"/>
          <c:tx>
            <c:strRef>
              <c:f>Risikomanagement!$T$12</c:f>
              <c:strCache>
                <c:ptCount val="1"/>
                <c:pt idx="0">
                  <c:v>Strategisch/Geschäftlich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xVal>
            <c:numRef>
              <c:f>Risikomanagement!$V$12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Risikomanagement!$W$12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Ref>
              <c:f>Risikomanagement!$U$12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436C-4577-85B2-3E5B10286D4A}"/>
            </c:ext>
          </c:extLst>
        </c:ser>
        <c:ser>
          <c:idx val="1"/>
          <c:order val="1"/>
          <c:tx>
            <c:strRef>
              <c:f>Risikomanagement!$T$13</c:f>
              <c:strCache>
                <c:ptCount val="1"/>
                <c:pt idx="0">
                  <c:v>Gerichtlich/Behördlich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xVal>
            <c:numRef>
              <c:f>Risikomanagement!$V$13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Risikomanagement!$W$13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Ref>
              <c:f>Risikomanagement!$U$13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436C-4577-85B2-3E5B10286D4A}"/>
            </c:ext>
          </c:extLst>
        </c:ser>
        <c:ser>
          <c:idx val="2"/>
          <c:order val="2"/>
          <c:tx>
            <c:strRef>
              <c:f>Risikomanagement!$T$14</c:f>
              <c:strCache>
                <c:ptCount val="1"/>
                <c:pt idx="0">
                  <c:v>Ökonomisch/Finanzell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xVal>
            <c:numRef>
              <c:f>Risikomanagement!$V$14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Risikomanagement!$V$14:$W$14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bubbleSize>
            <c:numRef>
              <c:f>Risikomanagement!$U$14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436C-4577-85B2-3E5B10286D4A}"/>
            </c:ext>
          </c:extLst>
        </c:ser>
        <c:ser>
          <c:idx val="3"/>
          <c:order val="3"/>
          <c:tx>
            <c:strRef>
              <c:f>Risikomanagement!$T$15</c:f>
              <c:strCache>
                <c:ptCount val="1"/>
                <c:pt idx="0">
                  <c:v>Organisatorisch/Management/Menschlich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xVal>
            <c:numRef>
              <c:f>Risikomanagement!$V$15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Risikomanagement!$W$15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Ref>
              <c:f>Risikomanagement!$U$15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436C-4577-85B2-3E5B10286D4A}"/>
            </c:ext>
          </c:extLst>
        </c:ser>
        <c:ser>
          <c:idx val="4"/>
          <c:order val="4"/>
          <c:tx>
            <c:strRef>
              <c:f>Risikomanagement!$T$16</c:f>
              <c:strCache>
                <c:ptCount val="1"/>
                <c:pt idx="0">
                  <c:v>Politisch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xVal>
            <c:numRef>
              <c:f>Risikomanagement!$V$16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Risikomanagement!$W$16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Ref>
              <c:f>Risikomanagement!$U$16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436C-4577-85B2-3E5B10286D4A}"/>
            </c:ext>
          </c:extLst>
        </c:ser>
        <c:ser>
          <c:idx val="5"/>
          <c:order val="5"/>
          <c:tx>
            <c:strRef>
              <c:f>Risikomanagement!$T$17</c:f>
              <c:strCache>
                <c:ptCount val="1"/>
                <c:pt idx="0">
                  <c:v>Umwelt</c:v>
                </c:pt>
              </c:strCache>
            </c:strRef>
          </c:tx>
          <c:spPr>
            <a:solidFill>
              <a:srgbClr val="00B050"/>
            </a:solidFill>
            <a:ln w="25400">
              <a:noFill/>
            </a:ln>
          </c:spPr>
          <c:invertIfNegative val="0"/>
          <c:xVal>
            <c:numRef>
              <c:f>Risikomanagement!$V$17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Risikomanagement!$W$17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Ref>
              <c:f>Risikomanagement!$U$17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436C-4577-85B2-3E5B10286D4A}"/>
            </c:ext>
          </c:extLst>
        </c:ser>
        <c:ser>
          <c:idx val="6"/>
          <c:order val="6"/>
          <c:tx>
            <c:strRef>
              <c:f>Risikomanagement!$T$18</c:f>
              <c:strCache>
                <c:ptCount val="1"/>
                <c:pt idx="0">
                  <c:v>Technisch/Betrieblich/Infrastrukturell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invertIfNegative val="0"/>
          <c:xVal>
            <c:numRef>
              <c:f>Risikomanagement!$V$18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Risikomanagement!$W$18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bubbleSize>
            <c:numRef>
              <c:f>Risikomanagement!$U$18</c:f>
              <c:numCache>
                <c:formatCode>General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6-436C-4577-85B2-3E5B10286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66590088"/>
        <c:axId val="266590472"/>
      </c:bubbleChart>
      <c:valAx>
        <c:axId val="266590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266590472"/>
        <c:crosses val="autoZero"/>
        <c:crossBetween val="midCat"/>
      </c:valAx>
      <c:valAx>
        <c:axId val="266590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66590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3103020659003082"/>
          <c:y val="3.7961062947939592E-2"/>
          <c:w val="0.25503251118000497"/>
          <c:h val="0.7445040077061077"/>
        </c:manualLayout>
      </c:layout>
      <c:overlay val="0"/>
      <c:txPr>
        <a:bodyPr/>
        <a:lstStyle/>
        <a:p>
          <a:pPr>
            <a:defRPr sz="75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Risikomanagement!$AA$11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cat>
            <c:strRef>
              <c:f>Risikomanagement!$Z$12:$Z$14</c:f>
              <c:strCache>
                <c:ptCount val="2"/>
                <c:pt idx="0">
                  <c:v>T. Blankertz</c:v>
                </c:pt>
                <c:pt idx="1">
                  <c:v>H. Dosenkohl</c:v>
                </c:pt>
              </c:strCache>
            </c:strRef>
          </c:cat>
          <c:val>
            <c:numRef>
              <c:f>Risikomanagement!$AA$12:$AA$14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3-4163-9ACF-267B9A08B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537208"/>
        <c:axId val="266537992"/>
      </c:barChart>
      <c:catAx>
        <c:axId val="266537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66537992"/>
        <c:crosses val="autoZero"/>
        <c:auto val="1"/>
        <c:lblAlgn val="ctr"/>
        <c:lblOffset val="100"/>
        <c:noMultiLvlLbl val="0"/>
      </c:catAx>
      <c:valAx>
        <c:axId val="26653799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6653720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104775</xdr:colOff>
      <xdr:row>19</xdr:row>
      <xdr:rowOff>114299</xdr:rowOff>
    </xdr:from>
    <xdr:to>
      <xdr:col>22</xdr:col>
      <xdr:colOff>781049</xdr:colOff>
      <xdr:row>33</xdr:row>
      <xdr:rowOff>95250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38101</xdr:colOff>
      <xdr:row>11</xdr:row>
      <xdr:rowOff>57151</xdr:rowOff>
    </xdr:from>
    <xdr:to>
      <xdr:col>31</xdr:col>
      <xdr:colOff>685801</xdr:colOff>
      <xdr:row>19</xdr:row>
      <xdr:rowOff>66675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e2" displayName="Tabelle2" ref="B2:B30" totalsRowShown="0">
  <autoFilter ref="B2:B30" xr:uid="{00000000-0009-0000-0100-000002000000}"/>
  <tableColumns count="1">
    <tableColumn id="1" xr3:uid="{00000000-0010-0000-0000-000001000000}" name="Projektteilnehmer: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8" tint="-0.249977111117893"/>
  </sheetPr>
  <dimension ref="B2:AF47"/>
  <sheetViews>
    <sheetView showGridLines="0" tabSelected="1" zoomScaleNormal="100" zoomScaleSheetLayoutView="100" workbookViewId="0">
      <selection activeCell="R2" sqref="R2"/>
    </sheetView>
  </sheetViews>
  <sheetFormatPr defaultColWidth="11.42578125" defaultRowHeight="12.75"/>
  <cols>
    <col min="2" max="2" width="6.5703125" bestFit="1" customWidth="1"/>
    <col min="3" max="3" width="12.7109375" bestFit="1" customWidth="1"/>
    <col min="5" max="5" width="19.42578125" customWidth="1"/>
    <col min="6" max="6" width="26.42578125" bestFit="1" customWidth="1"/>
    <col min="7" max="7" width="3.85546875" customWidth="1"/>
    <col min="8" max="8" width="4.5703125" customWidth="1"/>
    <col min="9" max="9" width="5" customWidth="1"/>
    <col min="10" max="10" width="6.7109375" bestFit="1" customWidth="1"/>
    <col min="11" max="11" width="8" bestFit="1" customWidth="1"/>
    <col min="12" max="12" width="5.5703125" bestFit="1" customWidth="1"/>
    <col min="13" max="13" width="13.5703125" bestFit="1" customWidth="1"/>
    <col min="14" max="14" width="9.42578125" bestFit="1" customWidth="1"/>
    <col min="15" max="15" width="29.7109375" customWidth="1"/>
    <col min="16" max="16" width="12.7109375" bestFit="1" customWidth="1"/>
    <col min="17" max="17" width="13" bestFit="1" customWidth="1"/>
    <col min="18" max="18" width="11" bestFit="1" customWidth="1"/>
    <col min="19" max="19" width="13.140625" customWidth="1"/>
    <col min="20" max="20" width="35.85546875" bestFit="1" customWidth="1"/>
    <col min="23" max="23" width="13" customWidth="1"/>
    <col min="24" max="24" width="10.140625" bestFit="1" customWidth="1"/>
    <col min="26" max="26" width="17.7109375" customWidth="1"/>
  </cols>
  <sheetData>
    <row r="2" spans="2:32" ht="15" customHeight="1"/>
    <row r="3" spans="2:32" ht="15" customHeight="1"/>
    <row r="4" spans="2:32" ht="15" customHeight="1">
      <c r="U4" s="43">
        <f>SUM(U12:U18)</f>
        <v>0</v>
      </c>
    </row>
    <row r="5" spans="2:32" ht="15" customHeight="1"/>
    <row r="6" spans="2:32">
      <c r="B6" s="52" t="s">
        <v>0</v>
      </c>
      <c r="C6" s="55" t="s">
        <v>1</v>
      </c>
      <c r="D6" s="52" t="s">
        <v>2</v>
      </c>
      <c r="E6" s="55" t="s">
        <v>3</v>
      </c>
      <c r="F6" s="55" t="s">
        <v>4</v>
      </c>
      <c r="G6" s="55" t="s">
        <v>5</v>
      </c>
      <c r="H6" s="55"/>
      <c r="I6" s="55"/>
      <c r="J6" s="52" t="s">
        <v>6</v>
      </c>
      <c r="K6" s="52" t="s">
        <v>7</v>
      </c>
      <c r="L6" s="53" t="s">
        <v>8</v>
      </c>
      <c r="M6" s="52" t="s">
        <v>9</v>
      </c>
      <c r="N6" s="52" t="s">
        <v>10</v>
      </c>
      <c r="O6" s="52" t="s">
        <v>11</v>
      </c>
      <c r="P6" s="52" t="s">
        <v>12</v>
      </c>
      <c r="Q6" s="52" t="s">
        <v>13</v>
      </c>
      <c r="R6" s="52" t="s">
        <v>14</v>
      </c>
    </row>
    <row r="7" spans="2:32" ht="20.25" customHeight="1">
      <c r="B7" s="52"/>
      <c r="C7" s="55"/>
      <c r="D7" s="52"/>
      <c r="E7" s="55"/>
      <c r="F7" s="55"/>
      <c r="G7" s="51" t="s">
        <v>15</v>
      </c>
      <c r="H7" s="51" t="s">
        <v>16</v>
      </c>
      <c r="I7" s="51" t="s">
        <v>17</v>
      </c>
      <c r="J7" s="52"/>
      <c r="K7" s="52"/>
      <c r="L7" s="54"/>
      <c r="M7" s="52"/>
      <c r="N7" s="52"/>
      <c r="O7" s="52"/>
      <c r="P7" s="52"/>
      <c r="Q7" s="52"/>
      <c r="R7" s="52"/>
      <c r="S7" s="8"/>
    </row>
    <row r="8" spans="2:32">
      <c r="B8" s="1"/>
      <c r="C8" s="2"/>
      <c r="D8" s="3"/>
      <c r="E8" s="2"/>
      <c r="F8" s="2"/>
      <c r="G8" s="6"/>
      <c r="H8" s="6"/>
      <c r="I8" s="6"/>
      <c r="J8" s="7"/>
      <c r="K8" s="4">
        <f t="shared" ref="K8:K43" si="0">ROUND(SUM(G8:I8)/3,0)</f>
        <v>0</v>
      </c>
      <c r="L8" s="4">
        <f t="shared" ref="L8:L43" si="1">ROUND(SUM(J8:K8)/2,0)</f>
        <v>0</v>
      </c>
      <c r="M8" s="4" t="str">
        <f>IF(L8&lt;25,"geringe Priorität",IF(L8&lt;50,"mittlere Priorität",IF(L8&lt;75,"hohe Priorität","sehr hohe Priorität")))</f>
        <v>geringe Priorität</v>
      </c>
      <c r="N8" s="41"/>
      <c r="O8" s="2"/>
      <c r="P8" s="2"/>
      <c r="Q8" s="44"/>
      <c r="R8" s="5" t="s">
        <v>18</v>
      </c>
    </row>
    <row r="9" spans="2:32">
      <c r="B9" s="1"/>
      <c r="C9" s="2"/>
      <c r="D9" s="3"/>
      <c r="E9" s="2"/>
      <c r="F9" s="2"/>
      <c r="G9" s="6"/>
      <c r="H9" s="6"/>
      <c r="I9" s="6"/>
      <c r="J9" s="7"/>
      <c r="K9" s="4">
        <f t="shared" si="0"/>
        <v>0</v>
      </c>
      <c r="L9" s="4">
        <f t="shared" si="1"/>
        <v>0</v>
      </c>
      <c r="M9" s="4" t="str">
        <f>IF(L9&lt;25,"geringe Priorität",IF(L9&lt;50,"mittlere Priorität",IF(L9&lt;75,"hohe Priorität","sehr hohe Priorität")))</f>
        <v>geringe Priorität</v>
      </c>
      <c r="N9" s="2"/>
      <c r="O9" s="2"/>
      <c r="P9" s="2"/>
      <c r="Q9" s="44"/>
      <c r="R9" s="5" t="s">
        <v>18</v>
      </c>
      <c r="T9" s="18" t="s">
        <v>19</v>
      </c>
      <c r="U9" s="19"/>
      <c r="V9" s="19"/>
      <c r="W9" s="20"/>
      <c r="X9" s="8"/>
      <c r="Z9" s="18" t="s">
        <v>20</v>
      </c>
      <c r="AA9" s="21"/>
      <c r="AB9" s="21"/>
      <c r="AC9" s="21"/>
      <c r="AD9" s="21"/>
      <c r="AE9" s="21"/>
      <c r="AF9" s="22"/>
    </row>
    <row r="10" spans="2:32">
      <c r="B10" s="1"/>
      <c r="C10" s="2"/>
      <c r="D10" s="3"/>
      <c r="E10" s="2"/>
      <c r="F10" s="2"/>
      <c r="G10" s="6"/>
      <c r="H10" s="6"/>
      <c r="I10" s="6"/>
      <c r="J10" s="7"/>
      <c r="K10" s="4">
        <f t="shared" si="0"/>
        <v>0</v>
      </c>
      <c r="L10" s="4">
        <f t="shared" si="1"/>
        <v>0</v>
      </c>
      <c r="M10" s="4" t="str">
        <f t="shared" ref="M10:M43" si="2">IF(K10&lt;1,"geringe Priorität",IF(K10&lt;4,"mittlere Priorität",IF(K10&lt;5,"hohe Priorität","sehr hohe Priorität")))</f>
        <v>geringe Priorität</v>
      </c>
      <c r="N10" s="2"/>
      <c r="O10" s="2"/>
      <c r="P10" s="2"/>
      <c r="Q10" s="44"/>
      <c r="R10" s="5" t="s">
        <v>18</v>
      </c>
      <c r="T10" s="8"/>
      <c r="U10" s="8"/>
      <c r="V10" s="8"/>
      <c r="W10" s="8"/>
      <c r="X10" s="8"/>
    </row>
    <row r="11" spans="2:32" ht="13.5" thickBot="1">
      <c r="B11" s="1"/>
      <c r="C11" s="2"/>
      <c r="D11" s="3"/>
      <c r="E11" s="2"/>
      <c r="F11" s="2"/>
      <c r="G11" s="6"/>
      <c r="H11" s="6"/>
      <c r="I11" s="6"/>
      <c r="J11" s="7"/>
      <c r="K11" s="4">
        <f t="shared" si="0"/>
        <v>0</v>
      </c>
      <c r="L11" s="4">
        <f t="shared" si="1"/>
        <v>0</v>
      </c>
      <c r="M11" s="4" t="str">
        <f t="shared" si="2"/>
        <v>geringe Priorität</v>
      </c>
      <c r="N11" s="2"/>
      <c r="O11" s="2"/>
      <c r="P11" s="2"/>
      <c r="Q11" s="44"/>
      <c r="R11" s="5" t="s">
        <v>18</v>
      </c>
      <c r="T11" s="9"/>
      <c r="U11" s="10" t="s">
        <v>21</v>
      </c>
      <c r="V11" s="10" t="s">
        <v>22</v>
      </c>
      <c r="W11" s="11" t="s">
        <v>23</v>
      </c>
      <c r="X11" s="8"/>
      <c r="Z11" s="35" t="s">
        <v>24</v>
      </c>
      <c r="AA11" s="10" t="s">
        <v>21</v>
      </c>
      <c r="AB11" s="25"/>
      <c r="AC11" s="36"/>
      <c r="AD11" s="36"/>
      <c r="AE11" s="36"/>
      <c r="AF11" s="37"/>
    </row>
    <row r="12" spans="2:32">
      <c r="B12" s="1"/>
      <c r="C12" s="2"/>
      <c r="D12" s="3"/>
      <c r="E12" s="2"/>
      <c r="F12" s="2"/>
      <c r="G12" s="6"/>
      <c r="H12" s="6"/>
      <c r="I12" s="6"/>
      <c r="J12" s="7"/>
      <c r="K12" s="4">
        <f t="shared" si="0"/>
        <v>0</v>
      </c>
      <c r="L12" s="4">
        <f t="shared" si="1"/>
        <v>0</v>
      </c>
      <c r="M12" s="4" t="str">
        <f t="shared" si="2"/>
        <v>geringe Priorität</v>
      </c>
      <c r="N12" s="2"/>
      <c r="O12" s="2"/>
      <c r="P12" s="2"/>
      <c r="Q12" s="2"/>
      <c r="R12" s="5" t="s">
        <v>18</v>
      </c>
      <c r="T12" s="12" t="s">
        <v>25</v>
      </c>
      <c r="U12" s="13">
        <f>COUNTIF(F8:F100,T12)</f>
        <v>0</v>
      </c>
      <c r="V12" s="13">
        <f>IF(U12=0,0,ROUND(SUMIF($F$8:$F$100,T12,$J$8:$J$100)/U12,0))</f>
        <v>0</v>
      </c>
      <c r="W12" s="14">
        <f t="shared" ref="W12:W17" si="3">IF(U12=0,0,ROUND(SUMIF($F$8:$F$100,T12,$K$8:$K$100)/U12,0))</f>
        <v>0</v>
      </c>
      <c r="X12" s="8"/>
      <c r="Z12" s="47" t="s">
        <v>26</v>
      </c>
      <c r="AA12" s="45">
        <f>COUNTIF($P$8:$P$100,Z12)</f>
        <v>0</v>
      </c>
      <c r="AB12" s="33"/>
      <c r="AC12" s="33"/>
      <c r="AD12" s="33"/>
      <c r="AE12" s="33"/>
      <c r="AF12" s="34"/>
    </row>
    <row r="13" spans="2:32">
      <c r="B13" s="1"/>
      <c r="C13" s="2"/>
      <c r="D13" s="3"/>
      <c r="E13" s="2"/>
      <c r="F13" s="2"/>
      <c r="G13" s="6"/>
      <c r="H13" s="6"/>
      <c r="I13" s="6"/>
      <c r="J13" s="7"/>
      <c r="K13" s="4">
        <f t="shared" si="0"/>
        <v>0</v>
      </c>
      <c r="L13" s="4">
        <f t="shared" si="1"/>
        <v>0</v>
      </c>
      <c r="M13" s="4" t="str">
        <f t="shared" si="2"/>
        <v>geringe Priorität</v>
      </c>
      <c r="N13" s="2"/>
      <c r="O13" s="2"/>
      <c r="P13" s="2"/>
      <c r="Q13" s="2"/>
      <c r="R13" s="5" t="s">
        <v>18</v>
      </c>
      <c r="T13" s="12" t="s">
        <v>27</v>
      </c>
      <c r="U13" s="13">
        <f>COUNTIF(F8:F100,T13)</f>
        <v>0</v>
      </c>
      <c r="V13" s="13">
        <f t="shared" ref="V13:V18" si="4">IF(U13=0,0,ROUND(SUMIF($F$8:$F$100,T13,$J$8:$J$100)/U13,0))</f>
        <v>0</v>
      </c>
      <c r="W13" s="14">
        <f t="shared" si="3"/>
        <v>0</v>
      </c>
      <c r="X13" s="8"/>
      <c r="Z13" s="48" t="s">
        <v>28</v>
      </c>
      <c r="AA13" s="42">
        <f t="shared" ref="AA13:AA35" si="5">COUNTIF($P$8:$P$100,Z13)</f>
        <v>0</v>
      </c>
      <c r="AB13" s="30"/>
      <c r="AC13" s="30"/>
      <c r="AD13" s="30"/>
      <c r="AE13" s="30"/>
      <c r="AF13" s="23"/>
    </row>
    <row r="14" spans="2:32">
      <c r="B14" s="1"/>
      <c r="C14" s="2"/>
      <c r="D14" s="3"/>
      <c r="E14" s="2"/>
      <c r="F14" s="2"/>
      <c r="G14" s="6"/>
      <c r="H14" s="6"/>
      <c r="I14" s="6"/>
      <c r="J14" s="7"/>
      <c r="K14" s="4">
        <f t="shared" si="0"/>
        <v>0</v>
      </c>
      <c r="L14" s="4">
        <f t="shared" si="1"/>
        <v>0</v>
      </c>
      <c r="M14" s="4" t="str">
        <f t="shared" si="2"/>
        <v>geringe Priorität</v>
      </c>
      <c r="N14" s="2"/>
      <c r="O14" s="2"/>
      <c r="P14" s="2"/>
      <c r="Q14" s="2"/>
      <c r="R14" s="5" t="s">
        <v>18</v>
      </c>
      <c r="T14" s="12" t="s">
        <v>29</v>
      </c>
      <c r="U14" s="13">
        <f>COUNTIF(F8:F100,T14)</f>
        <v>0</v>
      </c>
      <c r="V14" s="13">
        <f t="shared" si="4"/>
        <v>0</v>
      </c>
      <c r="W14" s="14">
        <f t="shared" si="3"/>
        <v>0</v>
      </c>
      <c r="X14" s="8"/>
      <c r="Z14" s="48"/>
      <c r="AA14" s="42">
        <f t="shared" si="5"/>
        <v>0</v>
      </c>
      <c r="AB14" s="30"/>
      <c r="AC14" s="30"/>
      <c r="AD14" s="30"/>
      <c r="AE14" s="30"/>
      <c r="AF14" s="23"/>
    </row>
    <row r="15" spans="2:32">
      <c r="B15" s="1"/>
      <c r="C15" s="2"/>
      <c r="D15" s="3"/>
      <c r="E15" s="2"/>
      <c r="F15" s="2"/>
      <c r="G15" s="6"/>
      <c r="H15" s="6"/>
      <c r="I15" s="6"/>
      <c r="J15" s="7"/>
      <c r="K15" s="4">
        <f t="shared" si="0"/>
        <v>0</v>
      </c>
      <c r="L15" s="4">
        <f t="shared" si="1"/>
        <v>0</v>
      </c>
      <c r="M15" s="4" t="str">
        <f t="shared" si="2"/>
        <v>geringe Priorität</v>
      </c>
      <c r="N15" s="2"/>
      <c r="O15" s="2"/>
      <c r="P15" s="2"/>
      <c r="Q15" s="2"/>
      <c r="R15" s="5" t="s">
        <v>18</v>
      </c>
      <c r="T15" s="12" t="s">
        <v>30</v>
      </c>
      <c r="U15" s="13">
        <f>COUNTIF(F8:F100,T15)</f>
        <v>0</v>
      </c>
      <c r="V15" s="13">
        <f t="shared" si="4"/>
        <v>0</v>
      </c>
      <c r="W15" s="14">
        <f t="shared" si="3"/>
        <v>0</v>
      </c>
      <c r="X15" s="8"/>
      <c r="Z15" s="48"/>
      <c r="AA15" s="42">
        <f t="shared" si="5"/>
        <v>0</v>
      </c>
      <c r="AB15" s="30"/>
      <c r="AC15" s="30"/>
      <c r="AD15" s="30"/>
      <c r="AE15" s="30"/>
      <c r="AF15" s="23"/>
    </row>
    <row r="16" spans="2:32">
      <c r="B16" s="1"/>
      <c r="C16" s="2"/>
      <c r="D16" s="3"/>
      <c r="E16" s="2"/>
      <c r="F16" s="2"/>
      <c r="G16" s="6"/>
      <c r="H16" s="6"/>
      <c r="I16" s="6"/>
      <c r="J16" s="7"/>
      <c r="K16" s="4">
        <f t="shared" si="0"/>
        <v>0</v>
      </c>
      <c r="L16" s="4">
        <f t="shared" si="1"/>
        <v>0</v>
      </c>
      <c r="M16" s="4" t="str">
        <f t="shared" si="2"/>
        <v>geringe Priorität</v>
      </c>
      <c r="N16" s="2"/>
      <c r="O16" s="2"/>
      <c r="P16" s="2"/>
      <c r="Q16" s="2"/>
      <c r="R16" s="5" t="s">
        <v>18</v>
      </c>
      <c r="T16" s="12" t="s">
        <v>31</v>
      </c>
      <c r="U16" s="13">
        <f>COUNTIF(F8:F100,T16)</f>
        <v>0</v>
      </c>
      <c r="V16" s="13">
        <f t="shared" si="4"/>
        <v>0</v>
      </c>
      <c r="W16" s="14">
        <f t="shared" si="3"/>
        <v>0</v>
      </c>
      <c r="X16" s="8"/>
      <c r="Z16" s="48"/>
      <c r="AA16" s="42">
        <f t="shared" si="5"/>
        <v>0</v>
      </c>
      <c r="AB16" s="30"/>
      <c r="AC16" s="30"/>
      <c r="AD16" s="30"/>
      <c r="AE16" s="30"/>
      <c r="AF16" s="23"/>
    </row>
    <row r="17" spans="2:32">
      <c r="B17" s="1"/>
      <c r="C17" s="2"/>
      <c r="D17" s="3"/>
      <c r="E17" s="2"/>
      <c r="F17" s="2"/>
      <c r="G17" s="6"/>
      <c r="H17" s="6"/>
      <c r="I17" s="6"/>
      <c r="J17" s="7"/>
      <c r="K17" s="4">
        <f t="shared" si="0"/>
        <v>0</v>
      </c>
      <c r="L17" s="4">
        <f t="shared" si="1"/>
        <v>0</v>
      </c>
      <c r="M17" s="4" t="str">
        <f t="shared" si="2"/>
        <v>geringe Priorität</v>
      </c>
      <c r="N17" s="2"/>
      <c r="O17" s="2"/>
      <c r="P17" s="2"/>
      <c r="Q17" s="2"/>
      <c r="R17" s="5" t="s">
        <v>18</v>
      </c>
      <c r="T17" s="12" t="s">
        <v>32</v>
      </c>
      <c r="U17" s="13">
        <f>COUNTIF(F8:F100,T17)</f>
        <v>0</v>
      </c>
      <c r="V17" s="13">
        <f t="shared" si="4"/>
        <v>0</v>
      </c>
      <c r="W17" s="14">
        <f t="shared" si="3"/>
        <v>0</v>
      </c>
      <c r="X17" s="8"/>
      <c r="Z17" s="48"/>
      <c r="AA17" s="42">
        <f t="shared" si="5"/>
        <v>0</v>
      </c>
      <c r="AB17" s="30"/>
      <c r="AC17" s="30"/>
      <c r="AD17" s="30"/>
      <c r="AE17" s="30"/>
      <c r="AF17" s="23"/>
    </row>
    <row r="18" spans="2:32">
      <c r="B18" s="1"/>
      <c r="C18" s="2"/>
      <c r="D18" s="3"/>
      <c r="E18" s="2"/>
      <c r="F18" s="2"/>
      <c r="G18" s="6"/>
      <c r="H18" s="6"/>
      <c r="I18" s="6"/>
      <c r="J18" s="7"/>
      <c r="K18" s="4">
        <f t="shared" si="0"/>
        <v>0</v>
      </c>
      <c r="L18" s="4">
        <f t="shared" si="1"/>
        <v>0</v>
      </c>
      <c r="M18" s="4" t="str">
        <f t="shared" si="2"/>
        <v>geringe Priorität</v>
      </c>
      <c r="N18" s="2"/>
      <c r="O18" s="2"/>
      <c r="P18" s="2"/>
      <c r="Q18" s="2"/>
      <c r="R18" s="5" t="s">
        <v>18</v>
      </c>
      <c r="T18" s="15" t="s">
        <v>33</v>
      </c>
      <c r="U18" s="16">
        <f>COUNTIF(F8:F100,T18)</f>
        <v>0</v>
      </c>
      <c r="V18" s="16">
        <f t="shared" si="4"/>
        <v>0</v>
      </c>
      <c r="W18" s="17">
        <f>IF(U18=0,0,ROUND(SUMIF($F$8:$F$100,T18,$K$8:$K$100)/U18,0))</f>
        <v>0</v>
      </c>
      <c r="X18" s="8"/>
      <c r="Z18" s="48"/>
      <c r="AA18" s="42">
        <f t="shared" si="5"/>
        <v>0</v>
      </c>
      <c r="AB18" s="30"/>
      <c r="AC18" s="30"/>
      <c r="AD18" s="30"/>
      <c r="AE18" s="30"/>
      <c r="AF18" s="23"/>
    </row>
    <row r="19" spans="2:32">
      <c r="B19" s="1"/>
      <c r="C19" s="2"/>
      <c r="D19" s="3"/>
      <c r="E19" s="2"/>
      <c r="F19" s="2"/>
      <c r="G19" s="6"/>
      <c r="H19" s="6"/>
      <c r="I19" s="6"/>
      <c r="J19" s="7"/>
      <c r="K19" s="4">
        <f t="shared" si="0"/>
        <v>0</v>
      </c>
      <c r="L19" s="4">
        <f t="shared" si="1"/>
        <v>0</v>
      </c>
      <c r="M19" s="4" t="str">
        <f t="shared" si="2"/>
        <v>geringe Priorität</v>
      </c>
      <c r="N19" s="2"/>
      <c r="O19" s="2"/>
      <c r="P19" s="2"/>
      <c r="Q19" s="2"/>
      <c r="R19" s="5" t="s">
        <v>18</v>
      </c>
      <c r="T19" s="26"/>
      <c r="U19" s="27"/>
      <c r="V19" s="27"/>
      <c r="W19" s="28"/>
      <c r="X19" s="8"/>
      <c r="Z19" s="48"/>
      <c r="AA19" s="42">
        <f t="shared" si="5"/>
        <v>0</v>
      </c>
      <c r="AB19" s="30"/>
      <c r="AC19" s="30"/>
      <c r="AD19" s="30"/>
      <c r="AE19" s="30"/>
      <c r="AF19" s="23"/>
    </row>
    <row r="20" spans="2:32">
      <c r="B20" s="1"/>
      <c r="C20" s="2"/>
      <c r="D20" s="3"/>
      <c r="E20" s="2"/>
      <c r="F20" s="2"/>
      <c r="G20" s="6"/>
      <c r="H20" s="6"/>
      <c r="I20" s="6"/>
      <c r="J20" s="7"/>
      <c r="K20" s="4">
        <f t="shared" si="0"/>
        <v>0</v>
      </c>
      <c r="L20" s="4">
        <f t="shared" si="1"/>
        <v>0</v>
      </c>
      <c r="M20" s="4" t="str">
        <f t="shared" si="2"/>
        <v>geringe Priorität</v>
      </c>
      <c r="N20" s="2"/>
      <c r="O20" s="2"/>
      <c r="P20" s="2"/>
      <c r="Q20" s="2"/>
      <c r="R20" s="5" t="s">
        <v>18</v>
      </c>
      <c r="T20" s="29"/>
      <c r="U20" s="30"/>
      <c r="V20" s="30"/>
      <c r="W20" s="23"/>
      <c r="Z20" s="48"/>
      <c r="AA20" s="42">
        <f t="shared" si="5"/>
        <v>0</v>
      </c>
      <c r="AB20" s="30"/>
      <c r="AC20" s="30"/>
      <c r="AD20" s="30"/>
      <c r="AE20" s="30"/>
      <c r="AF20" s="23"/>
    </row>
    <row r="21" spans="2:32">
      <c r="B21" s="1"/>
      <c r="C21" s="2"/>
      <c r="D21" s="3"/>
      <c r="E21" s="2"/>
      <c r="F21" s="2"/>
      <c r="G21" s="6"/>
      <c r="H21" s="6"/>
      <c r="I21" s="6"/>
      <c r="J21" s="7"/>
      <c r="K21" s="4">
        <f t="shared" si="0"/>
        <v>0</v>
      </c>
      <c r="L21" s="4">
        <f t="shared" si="1"/>
        <v>0</v>
      </c>
      <c r="M21" s="4" t="str">
        <f t="shared" si="2"/>
        <v>geringe Priorität</v>
      </c>
      <c r="N21" s="2"/>
      <c r="O21" s="2"/>
      <c r="P21" s="2"/>
      <c r="Q21" s="2"/>
      <c r="R21" s="5" t="s">
        <v>18</v>
      </c>
      <c r="T21" s="29"/>
      <c r="U21" s="30"/>
      <c r="V21" s="30"/>
      <c r="W21" s="23"/>
      <c r="Z21" s="48"/>
      <c r="AA21" s="42">
        <f t="shared" si="5"/>
        <v>0</v>
      </c>
      <c r="AB21" s="30"/>
      <c r="AC21" s="30"/>
      <c r="AD21" s="30"/>
      <c r="AE21" s="30"/>
      <c r="AF21" s="23"/>
    </row>
    <row r="22" spans="2:32">
      <c r="B22" s="1"/>
      <c r="C22" s="2"/>
      <c r="D22" s="3"/>
      <c r="E22" s="2"/>
      <c r="F22" s="2"/>
      <c r="G22" s="6"/>
      <c r="H22" s="6"/>
      <c r="I22" s="6"/>
      <c r="J22" s="7"/>
      <c r="K22" s="4">
        <f t="shared" si="0"/>
        <v>0</v>
      </c>
      <c r="L22" s="4">
        <f t="shared" si="1"/>
        <v>0</v>
      </c>
      <c r="M22" s="4" t="str">
        <f t="shared" si="2"/>
        <v>geringe Priorität</v>
      </c>
      <c r="N22" s="2"/>
      <c r="O22" s="2"/>
      <c r="P22" s="2"/>
      <c r="Q22" s="2"/>
      <c r="R22" s="5" t="s">
        <v>18</v>
      </c>
      <c r="T22" s="29"/>
      <c r="U22" s="30"/>
      <c r="V22" s="30"/>
      <c r="W22" s="23"/>
      <c r="Z22" s="48"/>
      <c r="AA22" s="42">
        <f t="shared" si="5"/>
        <v>0</v>
      </c>
      <c r="AB22" s="30"/>
      <c r="AC22" s="30"/>
      <c r="AD22" s="30"/>
      <c r="AE22" s="30"/>
      <c r="AF22" s="23"/>
    </row>
    <row r="23" spans="2:32">
      <c r="B23" s="1"/>
      <c r="C23" s="2"/>
      <c r="D23" s="3"/>
      <c r="E23" s="2"/>
      <c r="F23" s="2"/>
      <c r="G23" s="6"/>
      <c r="H23" s="6"/>
      <c r="I23" s="6"/>
      <c r="J23" s="7"/>
      <c r="K23" s="4">
        <f t="shared" si="0"/>
        <v>0</v>
      </c>
      <c r="L23" s="4">
        <f t="shared" si="1"/>
        <v>0</v>
      </c>
      <c r="M23" s="4" t="str">
        <f t="shared" si="2"/>
        <v>geringe Priorität</v>
      </c>
      <c r="N23" s="2"/>
      <c r="O23" s="2"/>
      <c r="P23" s="2"/>
      <c r="Q23" s="2"/>
      <c r="R23" s="5" t="s">
        <v>18</v>
      </c>
      <c r="T23" s="29"/>
      <c r="U23" s="30"/>
      <c r="V23" s="30"/>
      <c r="W23" s="23"/>
      <c r="Z23" s="48"/>
      <c r="AA23" s="42">
        <f t="shared" si="5"/>
        <v>0</v>
      </c>
      <c r="AB23" s="30"/>
      <c r="AC23" s="30"/>
      <c r="AD23" s="30"/>
      <c r="AE23" s="30"/>
      <c r="AF23" s="23"/>
    </row>
    <row r="24" spans="2:32">
      <c r="B24" s="1"/>
      <c r="C24" s="2"/>
      <c r="D24" s="3"/>
      <c r="E24" s="2"/>
      <c r="F24" s="2"/>
      <c r="G24" s="6"/>
      <c r="H24" s="6"/>
      <c r="I24" s="6"/>
      <c r="J24" s="7"/>
      <c r="K24" s="4">
        <f t="shared" si="0"/>
        <v>0</v>
      </c>
      <c r="L24" s="4">
        <f t="shared" si="1"/>
        <v>0</v>
      </c>
      <c r="M24" s="4" t="str">
        <f t="shared" si="2"/>
        <v>geringe Priorität</v>
      </c>
      <c r="N24" s="2"/>
      <c r="O24" s="2"/>
      <c r="P24" s="2"/>
      <c r="Q24" s="2"/>
      <c r="R24" s="5" t="s">
        <v>18</v>
      </c>
      <c r="T24" s="29"/>
      <c r="U24" s="30"/>
      <c r="V24" s="30"/>
      <c r="W24" s="23"/>
      <c r="Z24" s="48"/>
      <c r="AA24" s="42">
        <f t="shared" si="5"/>
        <v>0</v>
      </c>
      <c r="AB24" s="30"/>
      <c r="AC24" s="30"/>
      <c r="AD24" s="30"/>
      <c r="AE24" s="30"/>
      <c r="AF24" s="23"/>
    </row>
    <row r="25" spans="2:32">
      <c r="B25" s="1"/>
      <c r="C25" s="2"/>
      <c r="D25" s="3"/>
      <c r="E25" s="2"/>
      <c r="F25" s="2"/>
      <c r="G25" s="6"/>
      <c r="H25" s="6"/>
      <c r="I25" s="6"/>
      <c r="J25" s="7"/>
      <c r="K25" s="4">
        <f t="shared" si="0"/>
        <v>0</v>
      </c>
      <c r="L25" s="4">
        <f t="shared" si="1"/>
        <v>0</v>
      </c>
      <c r="M25" s="4" t="str">
        <f t="shared" si="2"/>
        <v>geringe Priorität</v>
      </c>
      <c r="N25" s="2"/>
      <c r="O25" s="2"/>
      <c r="P25" s="2"/>
      <c r="Q25" s="2"/>
      <c r="R25" s="5" t="s">
        <v>18</v>
      </c>
      <c r="T25" s="29"/>
      <c r="U25" s="30"/>
      <c r="V25" s="30"/>
      <c r="W25" s="23"/>
      <c r="Z25" s="48"/>
      <c r="AA25" s="42">
        <f t="shared" si="5"/>
        <v>0</v>
      </c>
      <c r="AB25" s="30"/>
      <c r="AC25" s="30"/>
      <c r="AD25" s="30"/>
      <c r="AE25" s="30"/>
      <c r="AF25" s="23"/>
    </row>
    <row r="26" spans="2:32">
      <c r="B26" s="1"/>
      <c r="C26" s="2"/>
      <c r="D26" s="3"/>
      <c r="E26" s="2"/>
      <c r="F26" s="2"/>
      <c r="G26" s="6"/>
      <c r="H26" s="6"/>
      <c r="I26" s="6"/>
      <c r="J26" s="7"/>
      <c r="K26" s="4">
        <f t="shared" si="0"/>
        <v>0</v>
      </c>
      <c r="L26" s="4">
        <f t="shared" si="1"/>
        <v>0</v>
      </c>
      <c r="M26" s="4" t="str">
        <f t="shared" si="2"/>
        <v>geringe Priorität</v>
      </c>
      <c r="N26" s="2"/>
      <c r="O26" s="2"/>
      <c r="P26" s="2"/>
      <c r="Q26" s="2"/>
      <c r="R26" s="5" t="s">
        <v>18</v>
      </c>
      <c r="T26" s="29"/>
      <c r="U26" s="30"/>
      <c r="V26" s="30"/>
      <c r="W26" s="23"/>
      <c r="Z26" s="48"/>
      <c r="AA26" s="42">
        <f t="shared" si="5"/>
        <v>0</v>
      </c>
      <c r="AB26" s="30"/>
      <c r="AC26" s="30"/>
      <c r="AD26" s="30"/>
      <c r="AE26" s="30"/>
      <c r="AF26" s="23"/>
    </row>
    <row r="27" spans="2:32">
      <c r="B27" s="1"/>
      <c r="C27" s="2"/>
      <c r="D27" s="3"/>
      <c r="E27" s="2"/>
      <c r="F27" s="2"/>
      <c r="G27" s="6"/>
      <c r="H27" s="6"/>
      <c r="I27" s="6"/>
      <c r="J27" s="7"/>
      <c r="K27" s="4">
        <f t="shared" si="0"/>
        <v>0</v>
      </c>
      <c r="L27" s="4">
        <f t="shared" si="1"/>
        <v>0</v>
      </c>
      <c r="M27" s="4" t="str">
        <f t="shared" si="2"/>
        <v>geringe Priorität</v>
      </c>
      <c r="N27" s="2"/>
      <c r="O27" s="2"/>
      <c r="P27" s="2"/>
      <c r="Q27" s="2"/>
      <c r="R27" s="5" t="s">
        <v>18</v>
      </c>
      <c r="T27" s="29"/>
      <c r="U27" s="30"/>
      <c r="V27" s="30"/>
      <c r="W27" s="23"/>
      <c r="Z27" s="48"/>
      <c r="AA27" s="42">
        <f t="shared" si="5"/>
        <v>0</v>
      </c>
      <c r="AB27" s="30"/>
      <c r="AC27" s="30"/>
      <c r="AD27" s="30"/>
      <c r="AE27" s="30"/>
      <c r="AF27" s="23"/>
    </row>
    <row r="28" spans="2:32">
      <c r="B28" s="1"/>
      <c r="C28" s="2"/>
      <c r="D28" s="3"/>
      <c r="E28" s="2"/>
      <c r="F28" s="2"/>
      <c r="G28" s="6"/>
      <c r="H28" s="6"/>
      <c r="I28" s="6"/>
      <c r="J28" s="7"/>
      <c r="K28" s="4">
        <f t="shared" si="0"/>
        <v>0</v>
      </c>
      <c r="L28" s="4">
        <f t="shared" si="1"/>
        <v>0</v>
      </c>
      <c r="M28" s="4" t="str">
        <f t="shared" si="2"/>
        <v>geringe Priorität</v>
      </c>
      <c r="N28" s="2"/>
      <c r="O28" s="2"/>
      <c r="P28" s="2"/>
      <c r="Q28" s="2"/>
      <c r="R28" s="5" t="s">
        <v>18</v>
      </c>
      <c r="T28" s="29"/>
      <c r="U28" s="30"/>
      <c r="V28" s="30"/>
      <c r="W28" s="23"/>
      <c r="Z28" s="48"/>
      <c r="AA28" s="42">
        <f t="shared" si="5"/>
        <v>0</v>
      </c>
      <c r="AB28" s="30"/>
      <c r="AC28" s="30"/>
      <c r="AD28" s="30"/>
      <c r="AE28" s="30"/>
      <c r="AF28" s="23"/>
    </row>
    <row r="29" spans="2:32">
      <c r="B29" s="1"/>
      <c r="C29" s="2"/>
      <c r="D29" s="3"/>
      <c r="E29" s="2"/>
      <c r="F29" s="2"/>
      <c r="G29" s="6"/>
      <c r="H29" s="6"/>
      <c r="I29" s="6"/>
      <c r="J29" s="7"/>
      <c r="K29" s="4">
        <f t="shared" si="0"/>
        <v>0</v>
      </c>
      <c r="L29" s="4">
        <f t="shared" si="1"/>
        <v>0</v>
      </c>
      <c r="M29" s="4" t="str">
        <f t="shared" si="2"/>
        <v>geringe Priorität</v>
      </c>
      <c r="N29" s="2"/>
      <c r="O29" s="2"/>
      <c r="P29" s="2"/>
      <c r="Q29" s="2"/>
      <c r="R29" s="5" t="s">
        <v>18</v>
      </c>
      <c r="T29" s="29"/>
      <c r="U29" s="30"/>
      <c r="V29" s="30"/>
      <c r="W29" s="23"/>
      <c r="Z29" s="48"/>
      <c r="AA29" s="42">
        <f t="shared" si="5"/>
        <v>0</v>
      </c>
      <c r="AB29" s="30"/>
      <c r="AC29" s="30"/>
      <c r="AD29" s="30"/>
      <c r="AE29" s="30"/>
      <c r="AF29" s="23"/>
    </row>
    <row r="30" spans="2:32">
      <c r="B30" s="1"/>
      <c r="C30" s="2"/>
      <c r="D30" s="3"/>
      <c r="E30" s="2"/>
      <c r="F30" s="2"/>
      <c r="G30" s="6"/>
      <c r="H30" s="6"/>
      <c r="I30" s="6"/>
      <c r="J30" s="7"/>
      <c r="K30" s="4">
        <f t="shared" si="0"/>
        <v>0</v>
      </c>
      <c r="L30" s="4">
        <f t="shared" si="1"/>
        <v>0</v>
      </c>
      <c r="M30" s="4" t="str">
        <f t="shared" si="2"/>
        <v>geringe Priorität</v>
      </c>
      <c r="N30" s="2"/>
      <c r="O30" s="2"/>
      <c r="P30" s="2"/>
      <c r="Q30" s="2"/>
      <c r="R30" s="5" t="s">
        <v>18</v>
      </c>
      <c r="T30" s="29"/>
      <c r="U30" s="30"/>
      <c r="V30" s="30"/>
      <c r="W30" s="23"/>
      <c r="Z30" s="48"/>
      <c r="AA30" s="42">
        <f t="shared" si="5"/>
        <v>0</v>
      </c>
      <c r="AB30" s="30"/>
      <c r="AC30" s="30"/>
      <c r="AD30" s="30"/>
      <c r="AE30" s="30"/>
      <c r="AF30" s="23"/>
    </row>
    <row r="31" spans="2:32">
      <c r="B31" s="1"/>
      <c r="C31" s="2"/>
      <c r="D31" s="3"/>
      <c r="E31" s="2"/>
      <c r="F31" s="2"/>
      <c r="G31" s="6"/>
      <c r="H31" s="6"/>
      <c r="I31" s="6"/>
      <c r="J31" s="7"/>
      <c r="K31" s="4">
        <f t="shared" si="0"/>
        <v>0</v>
      </c>
      <c r="L31" s="4">
        <f t="shared" si="1"/>
        <v>0</v>
      </c>
      <c r="M31" s="4" t="str">
        <f t="shared" si="2"/>
        <v>geringe Priorität</v>
      </c>
      <c r="N31" s="2"/>
      <c r="O31" s="2"/>
      <c r="P31" s="2"/>
      <c r="Q31" s="2"/>
      <c r="R31" s="5" t="s">
        <v>18</v>
      </c>
      <c r="T31" s="29"/>
      <c r="U31" s="30"/>
      <c r="V31" s="30"/>
      <c r="W31" s="23"/>
      <c r="Z31" s="48"/>
      <c r="AA31" s="42">
        <f t="shared" si="5"/>
        <v>0</v>
      </c>
      <c r="AB31" s="30"/>
      <c r="AC31" s="30"/>
      <c r="AD31" s="30"/>
      <c r="AE31" s="30"/>
      <c r="AF31" s="23"/>
    </row>
    <row r="32" spans="2:32">
      <c r="B32" s="1"/>
      <c r="C32" s="2"/>
      <c r="D32" s="3"/>
      <c r="E32" s="2"/>
      <c r="F32" s="2"/>
      <c r="G32" s="6"/>
      <c r="H32" s="6"/>
      <c r="I32" s="6"/>
      <c r="J32" s="7"/>
      <c r="K32" s="4">
        <f t="shared" si="0"/>
        <v>0</v>
      </c>
      <c r="L32" s="4">
        <f t="shared" si="1"/>
        <v>0</v>
      </c>
      <c r="M32" s="4" t="str">
        <f t="shared" si="2"/>
        <v>geringe Priorität</v>
      </c>
      <c r="N32" s="2"/>
      <c r="O32" s="2"/>
      <c r="P32" s="2"/>
      <c r="Q32" s="2"/>
      <c r="R32" s="5" t="s">
        <v>18</v>
      </c>
      <c r="T32" s="29"/>
      <c r="U32" s="30"/>
      <c r="V32" s="30"/>
      <c r="W32" s="23"/>
      <c r="Z32" s="48"/>
      <c r="AA32" s="42">
        <f t="shared" si="5"/>
        <v>0</v>
      </c>
      <c r="AB32" s="30"/>
      <c r="AC32" s="30"/>
      <c r="AD32" s="30"/>
      <c r="AE32" s="30"/>
      <c r="AF32" s="23"/>
    </row>
    <row r="33" spans="2:32">
      <c r="B33" s="1"/>
      <c r="C33" s="2"/>
      <c r="D33" s="3"/>
      <c r="E33" s="2"/>
      <c r="F33" s="2"/>
      <c r="G33" s="6"/>
      <c r="H33" s="6"/>
      <c r="I33" s="6"/>
      <c r="J33" s="7"/>
      <c r="K33" s="4">
        <f t="shared" si="0"/>
        <v>0</v>
      </c>
      <c r="L33" s="4">
        <f t="shared" si="1"/>
        <v>0</v>
      </c>
      <c r="M33" s="4" t="str">
        <f t="shared" si="2"/>
        <v>geringe Priorität</v>
      </c>
      <c r="N33" s="2"/>
      <c r="O33" s="2"/>
      <c r="P33" s="2"/>
      <c r="Q33" s="2"/>
      <c r="R33" s="5" t="s">
        <v>18</v>
      </c>
      <c r="T33" s="29"/>
      <c r="U33" s="30"/>
      <c r="V33" s="30"/>
      <c r="W33" s="23"/>
      <c r="Z33" s="48"/>
      <c r="AA33" s="42">
        <f t="shared" si="5"/>
        <v>0</v>
      </c>
      <c r="AB33" s="30"/>
      <c r="AC33" s="30"/>
      <c r="AD33" s="30"/>
      <c r="AE33" s="30"/>
      <c r="AF33" s="23"/>
    </row>
    <row r="34" spans="2:32">
      <c r="B34" s="1"/>
      <c r="C34" s="2"/>
      <c r="D34" s="3"/>
      <c r="E34" s="2"/>
      <c r="F34" s="2"/>
      <c r="G34" s="6"/>
      <c r="H34" s="6"/>
      <c r="I34" s="6"/>
      <c r="J34" s="7"/>
      <c r="K34" s="4">
        <f t="shared" si="0"/>
        <v>0</v>
      </c>
      <c r="L34" s="4">
        <f t="shared" si="1"/>
        <v>0</v>
      </c>
      <c r="M34" s="4" t="str">
        <f t="shared" si="2"/>
        <v>geringe Priorität</v>
      </c>
      <c r="N34" s="2"/>
      <c r="O34" s="2"/>
      <c r="P34" s="2"/>
      <c r="Q34" s="2"/>
      <c r="R34" s="5" t="s">
        <v>18</v>
      </c>
      <c r="T34" s="29"/>
      <c r="U34" s="30"/>
      <c r="V34" s="30"/>
      <c r="W34" s="23"/>
      <c r="Z34" s="48"/>
      <c r="AA34" s="42">
        <f t="shared" si="5"/>
        <v>0</v>
      </c>
      <c r="AB34" s="30"/>
      <c r="AC34" s="30"/>
      <c r="AD34" s="30"/>
      <c r="AE34" s="30"/>
      <c r="AF34" s="23"/>
    </row>
    <row r="35" spans="2:32" ht="13.5" thickBot="1">
      <c r="B35" s="1"/>
      <c r="C35" s="2"/>
      <c r="D35" s="3"/>
      <c r="E35" s="2"/>
      <c r="F35" s="2"/>
      <c r="G35" s="6"/>
      <c r="H35" s="6"/>
      <c r="I35" s="6"/>
      <c r="J35" s="7"/>
      <c r="K35" s="4">
        <f>ROUND(SUM(G35:I35)/3,0)</f>
        <v>0</v>
      </c>
      <c r="L35" s="4">
        <f t="shared" si="1"/>
        <v>0</v>
      </c>
      <c r="M35" s="4" t="str">
        <f t="shared" si="2"/>
        <v>geringe Priorität</v>
      </c>
      <c r="N35" s="2"/>
      <c r="O35" s="2"/>
      <c r="P35" s="2"/>
      <c r="Q35" s="2"/>
      <c r="R35" s="5" t="s">
        <v>18</v>
      </c>
      <c r="T35" s="31"/>
      <c r="U35" s="32"/>
      <c r="V35" s="32"/>
      <c r="W35" s="24"/>
      <c r="Z35" s="49"/>
      <c r="AA35" s="46">
        <f t="shared" si="5"/>
        <v>0</v>
      </c>
      <c r="AB35" s="32"/>
      <c r="AC35" s="32"/>
      <c r="AD35" s="32"/>
      <c r="AE35" s="32"/>
      <c r="AF35" s="24"/>
    </row>
    <row r="36" spans="2:32">
      <c r="B36" s="1"/>
      <c r="C36" s="2"/>
      <c r="D36" s="3"/>
      <c r="E36" s="2"/>
      <c r="F36" s="2"/>
      <c r="G36" s="6"/>
      <c r="H36" s="6"/>
      <c r="I36" s="6"/>
      <c r="J36" s="7"/>
      <c r="K36" s="4">
        <f t="shared" si="0"/>
        <v>0</v>
      </c>
      <c r="L36" s="4">
        <f t="shared" si="1"/>
        <v>0</v>
      </c>
      <c r="M36" s="4" t="str">
        <f t="shared" si="2"/>
        <v>geringe Priorität</v>
      </c>
      <c r="N36" s="2"/>
      <c r="O36" s="2"/>
      <c r="P36" s="2"/>
      <c r="Q36" s="2"/>
      <c r="R36" s="5" t="s">
        <v>18</v>
      </c>
    </row>
    <row r="37" spans="2:32">
      <c r="B37" s="1"/>
      <c r="C37" s="2"/>
      <c r="D37" s="3"/>
      <c r="E37" s="2"/>
      <c r="F37" s="2"/>
      <c r="G37" s="6"/>
      <c r="H37" s="6"/>
      <c r="I37" s="6"/>
      <c r="J37" s="7"/>
      <c r="K37" s="4">
        <f t="shared" si="0"/>
        <v>0</v>
      </c>
      <c r="L37" s="4">
        <f t="shared" si="1"/>
        <v>0</v>
      </c>
      <c r="M37" s="4" t="str">
        <f t="shared" si="2"/>
        <v>geringe Priorität</v>
      </c>
      <c r="N37" s="2"/>
      <c r="O37" s="2"/>
      <c r="P37" s="2"/>
      <c r="Q37" s="2"/>
      <c r="R37" s="5" t="s">
        <v>18</v>
      </c>
    </row>
    <row r="38" spans="2:32">
      <c r="B38" s="1"/>
      <c r="C38" s="2"/>
      <c r="D38" s="3"/>
      <c r="E38" s="2"/>
      <c r="F38" s="2"/>
      <c r="G38" s="6"/>
      <c r="H38" s="6"/>
      <c r="I38" s="6"/>
      <c r="J38" s="7"/>
      <c r="K38" s="4">
        <f t="shared" si="0"/>
        <v>0</v>
      </c>
      <c r="L38" s="4">
        <f t="shared" si="1"/>
        <v>0</v>
      </c>
      <c r="M38" s="4" t="str">
        <f t="shared" si="2"/>
        <v>geringe Priorität</v>
      </c>
      <c r="N38" s="2"/>
      <c r="O38" s="2"/>
      <c r="P38" s="2"/>
      <c r="Q38" s="2"/>
      <c r="R38" s="5" t="s">
        <v>18</v>
      </c>
      <c r="T38" s="38"/>
      <c r="U38" s="39"/>
      <c r="V38" s="39"/>
      <c r="W38" s="39"/>
      <c r="X38" s="39"/>
    </row>
    <row r="39" spans="2:32">
      <c r="B39" s="1"/>
      <c r="C39" s="2"/>
      <c r="D39" s="3"/>
      <c r="E39" s="2"/>
      <c r="F39" s="2"/>
      <c r="G39" s="6"/>
      <c r="H39" s="6"/>
      <c r="I39" s="6"/>
      <c r="J39" s="7"/>
      <c r="K39" s="4">
        <f t="shared" si="0"/>
        <v>0</v>
      </c>
      <c r="L39" s="4">
        <f t="shared" si="1"/>
        <v>0</v>
      </c>
      <c r="M39" s="4" t="str">
        <f t="shared" si="2"/>
        <v>geringe Priorität</v>
      </c>
      <c r="N39" s="2"/>
      <c r="O39" s="2"/>
      <c r="P39" s="2"/>
      <c r="Q39" s="2"/>
      <c r="R39" s="5" t="s">
        <v>18</v>
      </c>
      <c r="T39" s="40"/>
      <c r="U39" s="40"/>
      <c r="V39" s="40"/>
      <c r="W39" s="40"/>
      <c r="X39" s="40"/>
    </row>
    <row r="40" spans="2:32">
      <c r="B40" s="1"/>
      <c r="C40" s="2"/>
      <c r="D40" s="3"/>
      <c r="E40" s="2"/>
      <c r="F40" s="2"/>
      <c r="G40" s="6"/>
      <c r="H40" s="6"/>
      <c r="I40" s="6"/>
      <c r="J40" s="7"/>
      <c r="K40" s="4">
        <f t="shared" si="0"/>
        <v>0</v>
      </c>
      <c r="L40" s="4">
        <f t="shared" si="1"/>
        <v>0</v>
      </c>
      <c r="M40" s="4" t="str">
        <f t="shared" si="2"/>
        <v>geringe Priorität</v>
      </c>
      <c r="N40" s="2"/>
      <c r="O40" s="2"/>
      <c r="P40" s="2"/>
      <c r="Q40" s="2"/>
      <c r="R40" s="5" t="s">
        <v>18</v>
      </c>
      <c r="T40" s="39"/>
      <c r="U40" s="39"/>
      <c r="V40" s="39"/>
      <c r="W40" s="39"/>
      <c r="X40" s="39"/>
    </row>
    <row r="41" spans="2:32">
      <c r="B41" s="1"/>
      <c r="C41" s="2"/>
      <c r="D41" s="3"/>
      <c r="E41" s="2"/>
      <c r="F41" s="2"/>
      <c r="G41" s="6"/>
      <c r="H41" s="6"/>
      <c r="I41" s="6"/>
      <c r="J41" s="7"/>
      <c r="K41" s="4">
        <f t="shared" si="0"/>
        <v>0</v>
      </c>
      <c r="L41" s="4">
        <f t="shared" si="1"/>
        <v>0</v>
      </c>
      <c r="M41" s="4" t="str">
        <f t="shared" si="2"/>
        <v>geringe Priorität</v>
      </c>
      <c r="N41" s="2"/>
      <c r="O41" s="2"/>
      <c r="P41" s="2"/>
      <c r="Q41" s="2"/>
      <c r="R41" s="5" t="s">
        <v>18</v>
      </c>
      <c r="T41" s="39"/>
      <c r="U41" s="39"/>
      <c r="V41" s="39"/>
      <c r="W41" s="39"/>
      <c r="X41" s="39"/>
    </row>
    <row r="42" spans="2:32">
      <c r="B42" s="1"/>
      <c r="C42" s="2"/>
      <c r="D42" s="3"/>
      <c r="E42" s="2"/>
      <c r="F42" s="2"/>
      <c r="G42" s="6"/>
      <c r="H42" s="6"/>
      <c r="I42" s="6"/>
      <c r="J42" s="7"/>
      <c r="K42" s="4">
        <f t="shared" si="0"/>
        <v>0</v>
      </c>
      <c r="L42" s="4">
        <f t="shared" si="1"/>
        <v>0</v>
      </c>
      <c r="M42" s="4" t="str">
        <f t="shared" si="2"/>
        <v>geringe Priorität</v>
      </c>
      <c r="N42" s="2"/>
      <c r="O42" s="2"/>
      <c r="P42" s="2"/>
      <c r="Q42" s="2"/>
      <c r="R42" s="5" t="s">
        <v>18</v>
      </c>
      <c r="T42" s="39"/>
      <c r="U42" s="39"/>
      <c r="V42" s="39"/>
      <c r="W42" s="39"/>
      <c r="X42" s="39"/>
    </row>
    <row r="43" spans="2:32">
      <c r="B43" s="1"/>
      <c r="C43" s="2"/>
      <c r="D43" s="3"/>
      <c r="E43" s="2"/>
      <c r="F43" s="2"/>
      <c r="G43" s="6"/>
      <c r="H43" s="6"/>
      <c r="I43" s="6"/>
      <c r="J43" s="7"/>
      <c r="K43" s="4">
        <f t="shared" si="0"/>
        <v>0</v>
      </c>
      <c r="L43" s="4">
        <f t="shared" si="1"/>
        <v>0</v>
      </c>
      <c r="M43" s="4" t="str">
        <f t="shared" si="2"/>
        <v>geringe Priorität</v>
      </c>
      <c r="N43" s="2"/>
      <c r="O43" s="2"/>
      <c r="P43" s="2"/>
      <c r="Q43" s="2"/>
      <c r="R43" s="5" t="s">
        <v>18</v>
      </c>
      <c r="T43" s="39"/>
      <c r="U43" s="39"/>
      <c r="V43" s="39"/>
      <c r="W43" s="39"/>
      <c r="X43" s="39"/>
    </row>
    <row r="44" spans="2:32">
      <c r="T44" s="39"/>
      <c r="U44" s="39"/>
      <c r="V44" s="39"/>
      <c r="W44" s="39"/>
      <c r="X44" s="39"/>
    </row>
    <row r="45" spans="2:32">
      <c r="T45" s="39"/>
      <c r="U45" s="39"/>
      <c r="V45" s="39"/>
      <c r="W45" s="39"/>
      <c r="X45" s="39"/>
    </row>
    <row r="46" spans="2:32">
      <c r="T46" s="39"/>
      <c r="U46" s="39"/>
      <c r="V46" s="39"/>
      <c r="W46" s="39"/>
      <c r="X46" s="39"/>
    </row>
    <row r="47" spans="2:32">
      <c r="D47" s="50"/>
      <c r="T47" s="39"/>
      <c r="U47" s="39"/>
      <c r="V47" s="39"/>
      <c r="W47" s="39"/>
      <c r="X47" s="39"/>
    </row>
  </sheetData>
  <mergeCells count="15">
    <mergeCell ref="G6:I6"/>
    <mergeCell ref="B6:B7"/>
    <mergeCell ref="C6:C7"/>
    <mergeCell ref="D6:D7"/>
    <mergeCell ref="E6:E7"/>
    <mergeCell ref="F6:F7"/>
    <mergeCell ref="Q6:Q7"/>
    <mergeCell ref="R6:R7"/>
    <mergeCell ref="J6:J7"/>
    <mergeCell ref="K6:K7"/>
    <mergeCell ref="M6:M7"/>
    <mergeCell ref="N6:N7"/>
    <mergeCell ref="O6:O7"/>
    <mergeCell ref="P6:P7"/>
    <mergeCell ref="L6:L7"/>
  </mergeCells>
  <conditionalFormatting sqref="M8:M43">
    <cfRule type="containsText" dxfId="3" priority="1" operator="containsText" text="mittlere Priorität">
      <formula>NOT(ISERROR(SEARCH("mittlere Priorität",M8)))</formula>
    </cfRule>
    <cfRule type="containsText" dxfId="2" priority="2" operator="containsText" text="geringe Priorität">
      <formula>NOT(ISERROR(SEARCH("geringe Priorität",M8)))</formula>
    </cfRule>
    <cfRule type="beginsWith" dxfId="1" priority="3" operator="beginsWith" text="hohe Priorität">
      <formula>LEFT(M8,14)="hohe Priorität"</formula>
    </cfRule>
    <cfRule type="beginsWith" dxfId="0" priority="4" operator="beginsWith" text="sehr">
      <formula>LEFT(M8,4)="sehr"</formula>
    </cfRule>
  </conditionalFormatting>
  <dataValidations count="6">
    <dataValidation type="list" allowBlank="1" showInputMessage="1" showErrorMessage="1" sqref="F14:F43" xr:uid="{00000000-0002-0000-0000-000000000000}">
      <formula1>"Strategisch/Geschäftlich,Gerichtlich/Behördlich,Ökonomisch/Finanzell,Organisatorisch/Management/Menschlich,Politisch,Umweltbezogen,Technisch/Betrieblich/Infrastrukturell"</formula1>
    </dataValidation>
    <dataValidation type="list" allowBlank="1" showInputMessage="1" showErrorMessage="1" sqref="R8:R43" xr:uid="{00000000-0002-0000-0000-000001000000}">
      <formula1>"Geschlossen,Ansteigend,Absteigend,Gleichbleibend"</formula1>
    </dataValidation>
    <dataValidation type="list" allowBlank="1" showInputMessage="1" showErrorMessage="1" sqref="G8:I43" xr:uid="{00000000-0002-0000-0000-000002000000}">
      <formula1>"10,20,30,40,50,60,70,80,90,100"</formula1>
    </dataValidation>
    <dataValidation type="list" allowBlank="1" showInputMessage="1" showErrorMessage="1" sqref="J9:J43" xr:uid="{00000000-0002-0000-0000-000003000000}">
      <formula1>"10,20,30,40,40,50,60,700,80,90,100"</formula1>
    </dataValidation>
    <dataValidation type="list" allowBlank="1" showInputMessage="1" showErrorMessage="1" sqref="J8" xr:uid="{00000000-0002-0000-0000-000004000000}">
      <formula1>"10,20,30,40,40,50,60,70,80,90,100"</formula1>
    </dataValidation>
    <dataValidation type="list" allowBlank="1" showInputMessage="1" showErrorMessage="1" sqref="F8:F13" xr:uid="{00000000-0002-0000-0000-000005000000}">
      <formula1>$T$12:$T$18</formula1>
    </dataValidation>
  </dataValidations>
  <pageMargins left="0.70866141732283472" right="0.70866141732283472" top="0.78740157480314965" bottom="0.78740157480314965" header="0.31496062992125984" footer="0.31496062992125984"/>
  <pageSetup paperSize="9" scale="63" orientation="landscape" r:id="rId1"/>
  <headerFooter>
    <oddHeader>&amp;L&amp;8Bechtle Bonn GmbH &amp; Co KG
Pennefeldsweg 10
53177 Bonn&amp;R&amp;G</oddHeader>
  </headerFooter>
  <colBreaks count="1" manualBreakCount="1">
    <brk id="18" max="1048575" man="1"/>
  </colBreaks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6000000}">
          <x14:formula1>
            <xm:f>Infos!$B$3:$B$30</xm:f>
          </x14:formula1>
          <xm:sqref>Z12:Z35 C8:C43 P8:P43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0000"/>
  </sheetPr>
  <dimension ref="B2:B4"/>
  <sheetViews>
    <sheetView workbookViewId="0">
      <selection activeCell="B3" sqref="B3"/>
    </sheetView>
  </sheetViews>
  <sheetFormatPr defaultColWidth="11.42578125" defaultRowHeight="12.75"/>
  <cols>
    <col min="2" max="2" width="18.85546875" customWidth="1"/>
  </cols>
  <sheetData>
    <row r="2" spans="2:2">
      <c r="B2" t="s">
        <v>34</v>
      </c>
    </row>
    <row r="3" spans="2:2">
      <c r="B3" t="s">
        <v>26</v>
      </c>
    </row>
    <row r="4" spans="2:2">
      <c r="B4" t="s">
        <v>28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Blankertz, Torben</dc:creator>
  <cp:keywords/>
  <dc:description/>
  <cp:lastModifiedBy>Torben Blankertz</cp:lastModifiedBy>
  <cp:revision/>
  <dcterms:created xsi:type="dcterms:W3CDTF">2007-05-07T19:16:40Z</dcterms:created>
  <dcterms:modified xsi:type="dcterms:W3CDTF">2022-01-10T07:37:26Z</dcterms:modified>
  <cp:category/>
  <cp:contentStatus/>
</cp:coreProperties>
</file>